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2A1A740-2DE4-4FD8-A090-C794B5F84039}" xr6:coauthVersionLast="47" xr6:coauthVersionMax="47" xr10:uidLastSave="{00000000-0000-0000-0000-000000000000}"/>
  <bookViews>
    <workbookView xWindow="-120" yWindow="-120" windowWidth="20730" windowHeight="11160" activeTab="3" xr2:uid="{DFF2E67A-BB6C-44D4-8839-BE035C92BB78}"/>
  </bookViews>
  <sheets>
    <sheet name="BAHAN BAKU" sheetId="6" r:id="rId1"/>
    <sheet name="PROSES MASAKAN" sheetId="8" r:id="rId2"/>
    <sheet name="PENJUALAN" sheetId="7" r:id="rId3"/>
    <sheet name="REKAP N S AWAL" sheetId="9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9" l="1"/>
  <c r="J7" i="9"/>
  <c r="J8" i="9"/>
  <c r="J9" i="9"/>
  <c r="J10" i="9"/>
  <c r="J11" i="9"/>
  <c r="J5" i="9"/>
  <c r="I6" i="9"/>
  <c r="I7" i="9"/>
  <c r="I8" i="9"/>
  <c r="I9" i="9"/>
  <c r="I10" i="9"/>
  <c r="I11" i="9"/>
  <c r="I5" i="9"/>
  <c r="D18" i="6"/>
  <c r="D19" i="6" s="1"/>
  <c r="D20" i="6" s="1"/>
  <c r="D21" i="6" s="1"/>
  <c r="D22" i="6" s="1"/>
  <c r="D23" i="6" s="1"/>
  <c r="D24" i="6" s="1"/>
  <c r="E18" i="6"/>
  <c r="E19" i="6" s="1"/>
  <c r="E20" i="6" s="1"/>
  <c r="E21" i="6" s="1"/>
  <c r="E22" i="6" s="1"/>
  <c r="E23" i="6" s="1"/>
  <c r="E24" i="6" s="1"/>
  <c r="F18" i="6"/>
  <c r="F19" i="6" s="1"/>
  <c r="F20" i="6" s="1"/>
  <c r="F21" i="6" s="1"/>
  <c r="F22" i="6" s="1"/>
  <c r="F23" i="6" s="1"/>
  <c r="F24" i="6" s="1"/>
  <c r="G18" i="6"/>
  <c r="G19" i="6" s="1"/>
  <c r="G20" i="6" s="1"/>
  <c r="G21" i="6" s="1"/>
  <c r="G22" i="6" s="1"/>
  <c r="G23" i="6" s="1"/>
  <c r="G24" i="6" s="1"/>
  <c r="H18" i="6"/>
  <c r="H19" i="6" s="1"/>
  <c r="H20" i="6" s="1"/>
  <c r="H21" i="6" s="1"/>
  <c r="H22" i="6" s="1"/>
  <c r="H23" i="6" s="1"/>
  <c r="H24" i="6" s="1"/>
  <c r="H25" i="6" s="1"/>
  <c r="I18" i="6"/>
  <c r="I19" i="6" s="1"/>
  <c r="I20" i="6" s="1"/>
  <c r="I21" i="6" s="1"/>
  <c r="I22" i="6" s="1"/>
  <c r="I23" i="6" s="1"/>
  <c r="I24" i="6" s="1"/>
  <c r="J18" i="6"/>
  <c r="J19" i="6" s="1"/>
  <c r="J20" i="6" s="1"/>
  <c r="J21" i="6" s="1"/>
  <c r="J22" i="6" s="1"/>
  <c r="J23" i="6" s="1"/>
  <c r="J24" i="6" s="1"/>
  <c r="K18" i="6"/>
  <c r="K19" i="6" s="1"/>
  <c r="K20" i="6" s="1"/>
  <c r="K21" i="6" s="1"/>
  <c r="K22" i="6" s="1"/>
  <c r="K23" i="6" s="1"/>
  <c r="K24" i="6" s="1"/>
  <c r="C18" i="6"/>
  <c r="C19" i="6" s="1"/>
  <c r="C20" i="6" s="1"/>
  <c r="C21" i="6" s="1"/>
  <c r="C22" i="6" s="1"/>
  <c r="C23" i="6" s="1"/>
  <c r="C24" i="6" s="1"/>
  <c r="H10" i="9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C8" i="7"/>
  <c r="AW8" i="7" s="1"/>
  <c r="AY8" i="7" s="1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C9" i="7"/>
  <c r="AD9" i="7"/>
  <c r="AE9" i="7"/>
  <c r="AW9" i="7" s="1"/>
  <c r="AY9" i="7" s="1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S8" i="8"/>
  <c r="S9" i="8"/>
  <c r="S10" i="8"/>
  <c r="S11" i="8"/>
  <c r="H6" i="9"/>
  <c r="AW6" i="7"/>
  <c r="AW10" i="7"/>
  <c r="AY10" i="7" s="1"/>
  <c r="X5" i="7"/>
  <c r="X6" i="7"/>
  <c r="H7" i="9" s="1"/>
  <c r="X7" i="7"/>
  <c r="H8" i="9" s="1"/>
  <c r="X8" i="7"/>
  <c r="H9" i="9" s="1"/>
  <c r="X9" i="7"/>
  <c r="X10" i="7"/>
  <c r="H11" i="9" s="1"/>
  <c r="AS4" i="7"/>
  <c r="AI4" i="7"/>
  <c r="AJ4" i="7"/>
  <c r="AK4" i="7"/>
  <c r="AL4" i="7"/>
  <c r="AM4" i="7"/>
  <c r="AN4" i="7"/>
  <c r="AO4" i="7"/>
  <c r="Z5" i="7"/>
  <c r="Z6" i="7"/>
  <c r="Z7" i="7"/>
  <c r="Z8" i="7"/>
  <c r="Z9" i="7"/>
  <c r="Z10" i="7"/>
  <c r="Y5" i="7"/>
  <c r="Y6" i="7"/>
  <c r="Y7" i="7"/>
  <c r="Y8" i="7"/>
  <c r="Y9" i="7"/>
  <c r="Y10" i="7"/>
  <c r="AD4" i="7"/>
  <c r="AE4" i="7"/>
  <c r="AF4" i="7"/>
  <c r="AG4" i="7"/>
  <c r="AH4" i="7"/>
  <c r="AP4" i="7"/>
  <c r="AQ4" i="7"/>
  <c r="AR4" i="7"/>
  <c r="AT4" i="7"/>
  <c r="AU4" i="7"/>
  <c r="AV4" i="7"/>
  <c r="AC4" i="7"/>
  <c r="AC12" i="7" s="1"/>
  <c r="H4" i="9"/>
  <c r="G4" i="9"/>
  <c r="P6" i="8"/>
  <c r="P7" i="8"/>
  <c r="P8" i="8"/>
  <c r="P9" i="8"/>
  <c r="P10" i="8"/>
  <c r="P11" i="8"/>
  <c r="R11" i="8" s="1"/>
  <c r="P5" i="8"/>
  <c r="W4" i="7"/>
  <c r="W5" i="7"/>
  <c r="G6" i="9" s="1"/>
  <c r="W6" i="7"/>
  <c r="G7" i="9" s="1"/>
  <c r="W7" i="7"/>
  <c r="G8" i="9" s="1"/>
  <c r="W8" i="7"/>
  <c r="G9" i="9" s="1"/>
  <c r="W9" i="7"/>
  <c r="G10" i="9" s="1"/>
  <c r="W10" i="7"/>
  <c r="G11" i="9" s="1"/>
  <c r="L6" i="8"/>
  <c r="L7" i="8"/>
  <c r="L8" i="8"/>
  <c r="L9" i="8"/>
  <c r="L10" i="8"/>
  <c r="L11" i="8"/>
  <c r="L5" i="8"/>
  <c r="U12" i="8"/>
  <c r="T12" i="8"/>
  <c r="O12" i="8"/>
  <c r="N12" i="8"/>
  <c r="M12" i="8"/>
  <c r="Q6" i="8"/>
  <c r="Q7" i="8"/>
  <c r="Q8" i="8"/>
  <c r="Q9" i="8"/>
  <c r="Q10" i="8"/>
  <c r="R10" i="8" s="1"/>
  <c r="Q11" i="8"/>
  <c r="Q5" i="8"/>
  <c r="AD18" i="6"/>
  <c r="V24" i="7"/>
  <c r="U24" i="7"/>
  <c r="T24" i="7"/>
  <c r="R24" i="7"/>
  <c r="P24" i="7"/>
  <c r="N24" i="7"/>
  <c r="L24" i="7"/>
  <c r="J24" i="7"/>
  <c r="H24" i="7"/>
  <c r="F24" i="7"/>
  <c r="D24" i="7"/>
  <c r="K13" i="8"/>
  <c r="J13" i="8"/>
  <c r="I13" i="8"/>
  <c r="H13" i="8"/>
  <c r="G13" i="8"/>
  <c r="F13" i="8"/>
  <c r="E13" i="8"/>
  <c r="D13" i="8"/>
  <c r="C13" i="8"/>
  <c r="K12" i="8"/>
  <c r="J12" i="8"/>
  <c r="I12" i="8"/>
  <c r="H12" i="8"/>
  <c r="G12" i="8"/>
  <c r="F12" i="8"/>
  <c r="E12" i="8"/>
  <c r="D12" i="8"/>
  <c r="C12" i="8"/>
  <c r="S25" i="7"/>
  <c r="Q25" i="7"/>
  <c r="O25" i="7"/>
  <c r="M25" i="7"/>
  <c r="K25" i="7"/>
  <c r="I25" i="7"/>
  <c r="G25" i="7"/>
  <c r="E25" i="7"/>
  <c r="C25" i="7"/>
  <c r="S24" i="7"/>
  <c r="Q24" i="7"/>
  <c r="O24" i="7"/>
  <c r="M24" i="7"/>
  <c r="K24" i="7"/>
  <c r="I24" i="7"/>
  <c r="G24" i="7"/>
  <c r="E24" i="7"/>
  <c r="C24" i="7"/>
  <c r="W23" i="7"/>
  <c r="Y23" i="7" s="1"/>
  <c r="W22" i="7"/>
  <c r="Y22" i="7" s="1"/>
  <c r="W21" i="7"/>
  <c r="Y21" i="7" s="1"/>
  <c r="W20" i="7"/>
  <c r="Y20" i="7" s="1"/>
  <c r="W19" i="7"/>
  <c r="Y19" i="7" s="1"/>
  <c r="W18" i="7"/>
  <c r="Y18" i="7" s="1"/>
  <c r="Z17" i="7"/>
  <c r="Z24" i="7" s="1"/>
  <c r="Y17" i="7"/>
  <c r="X17" i="7"/>
  <c r="X24" i="7" s="1"/>
  <c r="W17" i="7"/>
  <c r="Z4" i="7"/>
  <c r="Y4" i="7"/>
  <c r="X4" i="7"/>
  <c r="H5" i="9" s="1"/>
  <c r="S12" i="7"/>
  <c r="Q12" i="7"/>
  <c r="O12" i="7"/>
  <c r="M12" i="7"/>
  <c r="K12" i="7"/>
  <c r="I12" i="7"/>
  <c r="G12" i="7"/>
  <c r="E12" i="7"/>
  <c r="C12" i="7"/>
  <c r="S11" i="7"/>
  <c r="Q11" i="7"/>
  <c r="O11" i="7"/>
  <c r="M11" i="7"/>
  <c r="K11" i="7"/>
  <c r="I11" i="7"/>
  <c r="G11" i="7"/>
  <c r="E11" i="7"/>
  <c r="C11" i="7"/>
  <c r="AG13" i="6"/>
  <c r="AF13" i="6"/>
  <c r="AE13" i="6"/>
  <c r="AD13" i="6"/>
  <c r="AC13" i="6"/>
  <c r="AB13" i="6"/>
  <c r="AA13" i="6"/>
  <c r="Z13" i="6"/>
  <c r="Y13" i="6"/>
  <c r="AG12" i="6"/>
  <c r="AF12" i="6"/>
  <c r="AE12" i="6"/>
  <c r="AD12" i="6"/>
  <c r="AC12" i="6"/>
  <c r="AB12" i="6"/>
  <c r="AA12" i="6"/>
  <c r="Z12" i="6"/>
  <c r="Y12" i="6"/>
  <c r="V13" i="6"/>
  <c r="U13" i="6"/>
  <c r="T13" i="6"/>
  <c r="S13" i="6"/>
  <c r="R13" i="6"/>
  <c r="Q13" i="6"/>
  <c r="P13" i="6"/>
  <c r="O13" i="6"/>
  <c r="N13" i="6"/>
  <c r="D13" i="6"/>
  <c r="E13" i="6"/>
  <c r="F13" i="6"/>
  <c r="G13" i="6"/>
  <c r="H13" i="6"/>
  <c r="I13" i="6"/>
  <c r="J13" i="6"/>
  <c r="K13" i="6"/>
  <c r="C13" i="6"/>
  <c r="V12" i="6"/>
  <c r="U12" i="6"/>
  <c r="T12" i="6"/>
  <c r="S12" i="6"/>
  <c r="R12" i="6"/>
  <c r="Q12" i="6"/>
  <c r="P12" i="6"/>
  <c r="O12" i="6"/>
  <c r="N12" i="6"/>
  <c r="D12" i="6"/>
  <c r="E12" i="6"/>
  <c r="F12" i="6"/>
  <c r="G12" i="6"/>
  <c r="H12" i="6"/>
  <c r="I12" i="6"/>
  <c r="J12" i="6"/>
  <c r="K12" i="6"/>
  <c r="C12" i="6"/>
  <c r="AW7" i="7" l="1"/>
  <c r="AY7" i="7" s="1"/>
  <c r="AY6" i="7"/>
  <c r="AW5" i="7"/>
  <c r="AY5" i="7" s="1"/>
  <c r="AC24" i="6"/>
  <c r="AC25" i="6" s="1"/>
  <c r="G25" i="6"/>
  <c r="Z24" i="6"/>
  <c r="Z25" i="6" s="1"/>
  <c r="D25" i="6"/>
  <c r="AF24" i="6"/>
  <c r="AF25" i="6" s="1"/>
  <c r="J25" i="6"/>
  <c r="AB24" i="6"/>
  <c r="AB25" i="6" s="1"/>
  <c r="F25" i="6"/>
  <c r="AA24" i="6"/>
  <c r="AA25" i="6" s="1"/>
  <c r="E25" i="6"/>
  <c r="Y24" i="6"/>
  <c r="Y25" i="6" s="1"/>
  <c r="C25" i="6"/>
  <c r="AE24" i="6"/>
  <c r="AE25" i="6" s="1"/>
  <c r="I25" i="6"/>
  <c r="AG24" i="6"/>
  <c r="AG25" i="6" s="1"/>
  <c r="K25" i="6"/>
  <c r="AX8" i="7"/>
  <c r="AX10" i="7"/>
  <c r="AX9" i="7"/>
  <c r="AX7" i="7"/>
  <c r="AX6" i="7"/>
  <c r="AX5" i="7"/>
  <c r="AW4" i="7"/>
  <c r="X11" i="7"/>
  <c r="G5" i="9"/>
  <c r="Z11" i="7"/>
  <c r="Y11" i="7"/>
  <c r="AS12" i="7"/>
  <c r="AM11" i="7"/>
  <c r="AG12" i="7"/>
  <c r="AI11" i="7"/>
  <c r="AO12" i="7"/>
  <c r="AQ12" i="7"/>
  <c r="AK12" i="7"/>
  <c r="AX4" i="7"/>
  <c r="AE12" i="7"/>
  <c r="AE11" i="7"/>
  <c r="AI12" i="7"/>
  <c r="W11" i="7"/>
  <c r="AM12" i="7"/>
  <c r="AO11" i="7"/>
  <c r="AG11" i="7"/>
  <c r="AZ4" i="7"/>
  <c r="AZ11" i="7" s="1"/>
  <c r="AQ11" i="7"/>
  <c r="AC11" i="7"/>
  <c r="AK11" i="7"/>
  <c r="AS11" i="7"/>
  <c r="AY4" i="7"/>
  <c r="R5" i="8"/>
  <c r="U26" i="8" s="1"/>
  <c r="R9" i="8"/>
  <c r="R8" i="8"/>
  <c r="R6" i="8"/>
  <c r="S6" i="8" s="1"/>
  <c r="R7" i="8"/>
  <c r="S7" i="8" s="1"/>
  <c r="AG22" i="6"/>
  <c r="AG20" i="6"/>
  <c r="AF22" i="6"/>
  <c r="AF20" i="6"/>
  <c r="AG18" i="6"/>
  <c r="AG23" i="6"/>
  <c r="AG21" i="6"/>
  <c r="AG19" i="6"/>
  <c r="AF18" i="6"/>
  <c r="AF23" i="6"/>
  <c r="AF21" i="6"/>
  <c r="AF19" i="6"/>
  <c r="AA20" i="6"/>
  <c r="Z21" i="6"/>
  <c r="Y22" i="6"/>
  <c r="AE18" i="6"/>
  <c r="AB23" i="6"/>
  <c r="AA18" i="6"/>
  <c r="AE20" i="6"/>
  <c r="AB19" i="6"/>
  <c r="AC22" i="6"/>
  <c r="Y18" i="6"/>
  <c r="Z18" i="6"/>
  <c r="AE23" i="6"/>
  <c r="AA23" i="6"/>
  <c r="AB22" i="6"/>
  <c r="AC21" i="6"/>
  <c r="Y21" i="6"/>
  <c r="Z20" i="6"/>
  <c r="AE19" i="6"/>
  <c r="AA19" i="6"/>
  <c r="AC18" i="6"/>
  <c r="Z23" i="6"/>
  <c r="AE22" i="6"/>
  <c r="AA22" i="6"/>
  <c r="AB21" i="6"/>
  <c r="AC20" i="6"/>
  <c r="Y20" i="6"/>
  <c r="Z19" i="6"/>
  <c r="AB18" i="6"/>
  <c r="AC23" i="6"/>
  <c r="Y23" i="6"/>
  <c r="Z22" i="6"/>
  <c r="AE21" i="6"/>
  <c r="AA21" i="6"/>
  <c r="AB20" i="6"/>
  <c r="AC19" i="6"/>
  <c r="Y19" i="6"/>
  <c r="Q12" i="8"/>
  <c r="P12" i="8"/>
  <c r="L12" i="8"/>
  <c r="L13" i="8"/>
  <c r="W24" i="7"/>
  <c r="Y24" i="7"/>
  <c r="S5" i="8" l="1"/>
  <c r="AX11" i="7"/>
  <c r="AY11" i="7"/>
  <c r="E5" i="9"/>
  <c r="AW11" i="7"/>
  <c r="D5" i="9"/>
  <c r="D6" i="9" s="1"/>
  <c r="D7" i="9" s="1"/>
  <c r="D8" i="9" s="1"/>
  <c r="D9" i="9" s="1"/>
  <c r="D10" i="9" s="1"/>
  <c r="D11" i="9" s="1"/>
  <c r="AD24" i="6"/>
  <c r="AD25" i="6" s="1"/>
  <c r="AD22" i="6"/>
  <c r="AD23" i="6"/>
  <c r="AD19" i="6"/>
  <c r="AD20" i="6"/>
  <c r="AD21" i="6"/>
  <c r="R12" i="8"/>
  <c r="S12" i="8" s="1"/>
  <c r="E6" i="9" l="1"/>
  <c r="K5" i="9"/>
  <c r="L5" i="9"/>
  <c r="L6" i="9" l="1"/>
  <c r="E7" i="9"/>
  <c r="E8" i="9" s="1"/>
  <c r="E9" i="9" s="1"/>
  <c r="E10" i="9" s="1"/>
  <c r="E11" i="9" s="1"/>
  <c r="M5" i="9"/>
  <c r="K6" i="9"/>
  <c r="K7" i="9" l="1"/>
  <c r="L7" i="9"/>
  <c r="M6" i="9"/>
  <c r="M7" i="9" l="1"/>
  <c r="L8" i="9"/>
  <c r="K8" i="9"/>
  <c r="M8" i="9" l="1"/>
  <c r="K9" i="9"/>
  <c r="L9" i="9"/>
  <c r="M9" i="9" l="1"/>
  <c r="L11" i="9"/>
  <c r="L10" i="9"/>
  <c r="K11" i="9"/>
  <c r="K10" i="9"/>
  <c r="M10" i="9" l="1"/>
  <c r="M11" i="9"/>
</calcChain>
</file>

<file path=xl/sharedStrings.xml><?xml version="1.0" encoding="utf-8"?>
<sst xmlns="http://schemas.openxmlformats.org/spreadsheetml/2006/main" count="236" uniqueCount="61">
  <si>
    <t xml:space="preserve"> </t>
  </si>
  <si>
    <t>`</t>
  </si>
  <si>
    <t>GAPLEK</t>
  </si>
  <si>
    <t>GAMBLONG</t>
  </si>
  <si>
    <t>GULA</t>
  </si>
  <si>
    <t>GARAM</t>
  </si>
  <si>
    <t>PEMBELIAN</t>
  </si>
  <si>
    <t>PEWARNA</t>
  </si>
  <si>
    <t>SAKARIN</t>
  </si>
  <si>
    <t>SORBAT</t>
  </si>
  <si>
    <t>KALENG</t>
  </si>
  <si>
    <t>TUTUP</t>
  </si>
  <si>
    <t>NO</t>
  </si>
  <si>
    <t>PEMAKAIAN</t>
  </si>
  <si>
    <t>STOCK BUKU</t>
  </si>
  <si>
    <t>PENJUALAN</t>
  </si>
  <si>
    <t>YASFA'U</t>
  </si>
  <si>
    <t>SAMSUL</t>
  </si>
  <si>
    <t>AMIN</t>
  </si>
  <si>
    <t>PROSES MASAKAN</t>
  </si>
  <si>
    <t>REFILL</t>
  </si>
  <si>
    <t>IKHSAN</t>
  </si>
  <si>
    <t>KARDI</t>
  </si>
  <si>
    <t>BASUKI</t>
  </si>
  <si>
    <t>BUDI</t>
  </si>
  <si>
    <t>BAYU</t>
  </si>
  <si>
    <t>JUARI</t>
  </si>
  <si>
    <t>SUTEKNO</t>
  </si>
  <si>
    <t>NURUL</t>
  </si>
  <si>
    <t>KULADI</t>
  </si>
  <si>
    <t>KLNG</t>
  </si>
  <si>
    <t>TOTAL</t>
  </si>
  <si>
    <t>TRUK</t>
  </si>
  <si>
    <t>PENJUALAN GT</t>
  </si>
  <si>
    <t>RETUR</t>
  </si>
  <si>
    <t>STOCK NYATA</t>
  </si>
  <si>
    <t>SELISIH STOCK</t>
  </si>
  <si>
    <t>MUATAN SORE/PAGI KALENG DAN RE-FILL</t>
  </si>
  <si>
    <t>GMBLONG</t>
  </si>
  <si>
    <t>S AWAL</t>
  </si>
  <si>
    <t>PETIS</t>
  </si>
  <si>
    <t>RE-FILL</t>
  </si>
  <si>
    <t>HASIL MASAKAN</t>
  </si>
  <si>
    <t>SISA</t>
  </si>
  <si>
    <t>BAL</t>
  </si>
  <si>
    <t>KG</t>
  </si>
  <si>
    <t>(KG)</t>
  </si>
  <si>
    <t>KONVERSI</t>
  </si>
  <si>
    <t>RATA-RATA</t>
  </si>
  <si>
    <t>dlm Kg</t>
  </si>
  <si>
    <t>AGUS</t>
  </si>
  <si>
    <t>MHMUD</t>
  </si>
  <si>
    <t>TIM</t>
  </si>
  <si>
    <t>S AKHIR</t>
  </si>
  <si>
    <t>RIYAN</t>
  </si>
  <si>
    <t>KHOIRUL</t>
  </si>
  <si>
    <t>ARIF</t>
  </si>
  <si>
    <t>P E T I S</t>
  </si>
  <si>
    <t>AWAL</t>
  </si>
  <si>
    <t>STOCK OPNAME</t>
  </si>
  <si>
    <t>STOCK NYATA (OPNAME)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</si>
</sst>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#,##0\ &quot;Kg&quot;"/>
    <numFmt numFmtId="165" formatCode="0\ &quot;Kali&quot;"/>
    <numFmt numFmtId="166" formatCode="0\ &quot;Hari&quot;"/>
    <numFmt numFmtId="167" formatCode="0\ &quot;Mskn&quot;"/>
    <numFmt numFmtId="168" formatCode="0\ &quot;KL&quot;"/>
    <numFmt numFmtId="169" formatCode="General\ &quot;Bal&quot;"/>
    <numFmt numFmtId="170" formatCode="#,##0\ &quot;Bal&quot;"/>
    <numFmt numFmtId="171" formatCode="#,##0\ &quot;Klng&quot;"/>
    <numFmt numFmtId="172" formatCode="#,##0.0\ &quot;Kg/Mskn&quot;"/>
    <numFmt numFmtId="173" formatCode="_-* #,##0.0_-;\-* #,##0.0_-;_-* &quot;-&quot;_-;_-@_-"/>
    <numFmt numFmtId="174" formatCode="_-* #,##0.00_-;\-* #,##0.00_-;_-* &quot;-&quot;_-;_-@_-"/>
  </numFmts>
  <fonts count="2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medium">
        <color auto="1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 style="medium">
        <color indexed="64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auto="1"/>
      </left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Alignment="1">
      <alignment horizontal="center" vertical="center"/>
    </xf>
    <xf numFmtId="41" fontId="0" fillId="0" borderId="1" xfId="3" applyFont="1" applyBorder="1"/>
    <xf numFmtId="0" fontId="11" fillId="2" borderId="1" xfId="0" applyFont="1" applyFill="1" applyBorder="1" applyAlignment="1">
      <alignment horizontal="center" vertical="center"/>
    </xf>
    <xf numFmtId="41" fontId="0" fillId="2" borderId="1" xfId="3" applyFont="1" applyFill="1" applyBorder="1"/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3" fillId="7" borderId="0" xfId="0" applyFon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3" fillId="0" borderId="3" xfId="0" applyFont="1" applyBorder="1" applyAlignment="1">
      <alignment horizontal="center"/>
    </xf>
    <xf numFmtId="41" fontId="0" fillId="0" borderId="3" xfId="3" applyFont="1" applyBorder="1"/>
    <xf numFmtId="0" fontId="13" fillId="0" borderId="13" xfId="0" applyFont="1" applyBorder="1" applyAlignment="1">
      <alignment horizontal="center"/>
    </xf>
    <xf numFmtId="41" fontId="0" fillId="0" borderId="13" xfId="3" applyFont="1" applyBorder="1"/>
    <xf numFmtId="41" fontId="0" fillId="2" borderId="13" xfId="3" applyFont="1" applyFill="1" applyBorder="1"/>
    <xf numFmtId="167" fontId="0" fillId="0" borderId="1" xfId="3" applyNumberFormat="1" applyFont="1" applyBorder="1"/>
    <xf numFmtId="167" fontId="0" fillId="0" borderId="13" xfId="3" applyNumberFormat="1" applyFont="1" applyBorder="1"/>
    <xf numFmtId="167" fontId="0" fillId="0" borderId="3" xfId="3" applyNumberFormat="1" applyFont="1" applyBorder="1"/>
    <xf numFmtId="0" fontId="11" fillId="2" borderId="0" xfId="0" applyFont="1" applyFill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41" fontId="0" fillId="0" borderId="15" xfId="3" applyFont="1" applyBorder="1"/>
    <xf numFmtId="41" fontId="0" fillId="0" borderId="4" xfId="3" applyFont="1" applyBorder="1"/>
    <xf numFmtId="0" fontId="16" fillId="7" borderId="1" xfId="0" applyFont="1" applyFill="1" applyBorder="1" applyAlignment="1">
      <alignment vertical="center" wrapText="1"/>
    </xf>
    <xf numFmtId="41" fontId="0" fillId="0" borderId="14" xfId="3" applyFont="1" applyBorder="1"/>
    <xf numFmtId="41" fontId="0" fillId="0" borderId="16" xfId="3" applyFont="1" applyBorder="1"/>
    <xf numFmtId="41" fontId="0" fillId="0" borderId="10" xfId="3" applyFont="1" applyBorder="1"/>
    <xf numFmtId="165" fontId="1" fillId="2" borderId="14" xfId="3" applyNumberFormat="1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 wrapText="1"/>
    </xf>
    <xf numFmtId="165" fontId="1" fillId="2" borderId="17" xfId="3" applyNumberFormat="1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41" fontId="0" fillId="9" borderId="17" xfId="3" applyFont="1" applyFill="1" applyBorder="1"/>
    <xf numFmtId="41" fontId="0" fillId="9" borderId="20" xfId="3" applyFont="1" applyFill="1" applyBorder="1"/>
    <xf numFmtId="41" fontId="0" fillId="9" borderId="21" xfId="3" applyFont="1" applyFill="1" applyBorder="1"/>
    <xf numFmtId="0" fontId="13" fillId="0" borderId="9" xfId="0" applyFont="1" applyBorder="1" applyAlignment="1">
      <alignment horizontal="center"/>
    </xf>
    <xf numFmtId="41" fontId="0" fillId="0" borderId="9" xfId="3" applyFont="1" applyBorder="1"/>
    <xf numFmtId="41" fontId="1" fillId="2" borderId="21" xfId="3" applyFont="1" applyFill="1" applyBorder="1" applyAlignment="1">
      <alignment horizontal="center" vertical="center"/>
    </xf>
    <xf numFmtId="41" fontId="1" fillId="2" borderId="23" xfId="3" applyFont="1" applyFill="1" applyBorder="1" applyAlignment="1">
      <alignment horizontal="center" vertical="center"/>
    </xf>
    <xf numFmtId="168" fontId="0" fillId="8" borderId="1" xfId="3" applyNumberFormat="1" applyFont="1" applyFill="1" applyBorder="1"/>
    <xf numFmtId="168" fontId="0" fillId="8" borderId="15" xfId="3" applyNumberFormat="1" applyFont="1" applyFill="1" applyBorder="1"/>
    <xf numFmtId="168" fontId="0" fillId="8" borderId="4" xfId="3" applyNumberFormat="1" applyFont="1" applyFill="1" applyBorder="1"/>
    <xf numFmtId="169" fontId="0" fillId="9" borderId="1" xfId="3" applyNumberFormat="1" applyFont="1" applyFill="1" applyBorder="1"/>
    <xf numFmtId="169" fontId="0" fillId="9" borderId="15" xfId="3" applyNumberFormat="1" applyFont="1" applyFill="1" applyBorder="1"/>
    <xf numFmtId="169" fontId="0" fillId="9" borderId="4" xfId="3" applyNumberFormat="1" applyFont="1" applyFill="1" applyBorder="1"/>
    <xf numFmtId="0" fontId="16" fillId="7" borderId="1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41" fontId="0" fillId="2" borderId="4" xfId="3" applyFont="1" applyFill="1" applyBorder="1"/>
    <xf numFmtId="0" fontId="13" fillId="0" borderId="1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/>
    </xf>
    <xf numFmtId="0" fontId="16" fillId="9" borderId="31" xfId="0" applyFont="1" applyFill="1" applyBorder="1" applyAlignment="1">
      <alignment horizontal="center" vertical="center"/>
    </xf>
    <xf numFmtId="41" fontId="0" fillId="7" borderId="4" xfId="3" applyFont="1" applyFill="1" applyBorder="1"/>
    <xf numFmtId="41" fontId="0" fillId="7" borderId="1" xfId="3" applyFont="1" applyFill="1" applyBorder="1"/>
    <xf numFmtId="41" fontId="0" fillId="7" borderId="13" xfId="3" applyFont="1" applyFill="1" applyBorder="1"/>
    <xf numFmtId="41" fontId="0" fillId="7" borderId="3" xfId="3" applyFont="1" applyFill="1" applyBorder="1"/>
    <xf numFmtId="0" fontId="11" fillId="2" borderId="32" xfId="0" applyFont="1" applyFill="1" applyBorder="1" applyAlignment="1">
      <alignment horizontal="center" vertical="center"/>
    </xf>
    <xf numFmtId="41" fontId="3" fillId="3" borderId="34" xfId="3" applyFont="1" applyFill="1" applyBorder="1" applyAlignment="1">
      <alignment horizontal="center" vertical="center"/>
    </xf>
    <xf numFmtId="41" fontId="3" fillId="3" borderId="35" xfId="3" applyFont="1" applyFill="1" applyBorder="1" applyAlignment="1">
      <alignment horizontal="center" vertical="center"/>
    </xf>
    <xf numFmtId="41" fontId="3" fillId="3" borderId="36" xfId="3" applyFont="1" applyFill="1" applyBorder="1" applyAlignment="1">
      <alignment horizontal="center" vertical="center"/>
    </xf>
    <xf numFmtId="165" fontId="3" fillId="3" borderId="37" xfId="3" applyNumberFormat="1" applyFont="1" applyFill="1" applyBorder="1" applyAlignment="1">
      <alignment horizontal="center" vertical="center"/>
    </xf>
    <xf numFmtId="165" fontId="3" fillId="3" borderId="27" xfId="3" applyNumberFormat="1" applyFont="1" applyFill="1" applyBorder="1" applyAlignment="1">
      <alignment horizontal="center" vertical="center"/>
    </xf>
    <xf numFmtId="165" fontId="3" fillId="3" borderId="38" xfId="3" applyNumberFormat="1" applyFont="1" applyFill="1" applyBorder="1" applyAlignment="1">
      <alignment horizontal="center" vertical="center"/>
    </xf>
    <xf numFmtId="167" fontId="0" fillId="0" borderId="15" xfId="3" applyNumberFormat="1" applyFont="1" applyBorder="1"/>
    <xf numFmtId="167" fontId="1" fillId="2" borderId="21" xfId="3" applyNumberFormat="1" applyFont="1" applyFill="1" applyBorder="1" applyAlignment="1">
      <alignment horizontal="center" vertical="center"/>
    </xf>
    <xf numFmtId="167" fontId="1" fillId="2" borderId="4" xfId="3" applyNumberFormat="1" applyFont="1" applyFill="1" applyBorder="1" applyAlignment="1">
      <alignment horizontal="center" vertical="center"/>
    </xf>
    <xf numFmtId="166" fontId="0" fillId="2" borderId="18" xfId="3" applyNumberFormat="1" applyFont="1" applyFill="1" applyBorder="1" applyAlignment="1">
      <alignment horizontal="center" vertical="center"/>
    </xf>
    <xf numFmtId="166" fontId="0" fillId="2" borderId="13" xfId="3" applyNumberFormat="1" applyFont="1" applyFill="1" applyBorder="1" applyAlignment="1">
      <alignment horizontal="center" vertical="center"/>
    </xf>
    <xf numFmtId="170" fontId="2" fillId="7" borderId="1" xfId="0" applyNumberFormat="1" applyFont="1" applyFill="1" applyBorder="1" applyAlignment="1">
      <alignment horizontal="center" vertical="center"/>
    </xf>
    <xf numFmtId="167" fontId="2" fillId="0" borderId="1" xfId="3" applyNumberFormat="1" applyFont="1" applyBorder="1"/>
    <xf numFmtId="167" fontId="2" fillId="0" borderId="13" xfId="3" applyNumberFormat="1" applyFont="1" applyBorder="1"/>
    <xf numFmtId="167" fontId="2" fillId="0" borderId="3" xfId="3" applyNumberFormat="1" applyFont="1" applyBorder="1"/>
    <xf numFmtId="167" fontId="2" fillId="0" borderId="15" xfId="3" applyNumberFormat="1" applyFont="1" applyBorder="1"/>
    <xf numFmtId="164" fontId="20" fillId="2" borderId="1" xfId="0" applyNumberFormat="1" applyFont="1" applyFill="1" applyBorder="1" applyAlignment="1">
      <alignment vertical="center"/>
    </xf>
    <xf numFmtId="164" fontId="20" fillId="2" borderId="15" xfId="0" applyNumberFormat="1" applyFont="1" applyFill="1" applyBorder="1" applyAlignment="1">
      <alignment vertical="center"/>
    </xf>
    <xf numFmtId="164" fontId="20" fillId="2" borderId="4" xfId="0" applyNumberFormat="1" applyFont="1" applyFill="1" applyBorder="1" applyAlignment="1">
      <alignment vertical="center"/>
    </xf>
    <xf numFmtId="164" fontId="20" fillId="2" borderId="13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70" fontId="10" fillId="0" borderId="9" xfId="3" applyNumberFormat="1" applyFont="1" applyBorder="1"/>
    <xf numFmtId="0" fontId="1" fillId="0" borderId="12" xfId="0" applyFont="1" applyBorder="1" applyAlignment="1">
      <alignment horizontal="center" vertical="center"/>
    </xf>
    <xf numFmtId="171" fontId="10" fillId="0" borderId="54" xfId="3" applyNumberFormat="1" applyFont="1" applyBorder="1"/>
    <xf numFmtId="170" fontId="2" fillId="7" borderId="15" xfId="0" applyNumberFormat="1" applyFont="1" applyFill="1" applyBorder="1" applyAlignment="1">
      <alignment horizontal="center" vertical="center"/>
    </xf>
    <xf numFmtId="170" fontId="2" fillId="7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41" fontId="0" fillId="0" borderId="23" xfId="3" applyFont="1" applyBorder="1"/>
    <xf numFmtId="0" fontId="11" fillId="2" borderId="43" xfId="0" applyFont="1" applyFill="1" applyBorder="1" applyAlignment="1">
      <alignment horizontal="center" vertical="center"/>
    </xf>
    <xf numFmtId="0" fontId="11" fillId="2" borderId="60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/>
    </xf>
    <xf numFmtId="0" fontId="16" fillId="9" borderId="61" xfId="0" applyFont="1" applyFill="1" applyBorder="1" applyAlignment="1">
      <alignment horizontal="center" vertical="center"/>
    </xf>
    <xf numFmtId="170" fontId="0" fillId="9" borderId="1" xfId="3" applyNumberFormat="1" applyFont="1" applyFill="1" applyBorder="1"/>
    <xf numFmtId="170" fontId="0" fillId="9" borderId="15" xfId="3" applyNumberFormat="1" applyFont="1" applyFill="1" applyBorder="1"/>
    <xf numFmtId="170" fontId="0" fillId="9" borderId="4" xfId="3" applyNumberFormat="1" applyFont="1" applyFill="1" applyBorder="1"/>
    <xf numFmtId="0" fontId="3" fillId="4" borderId="1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20" fillId="2" borderId="3" xfId="0" applyNumberFormat="1" applyFont="1" applyFill="1" applyBorder="1" applyAlignment="1">
      <alignment vertical="center"/>
    </xf>
    <xf numFmtId="164" fontId="0" fillId="0" borderId="0" xfId="0" applyNumberFormat="1"/>
    <xf numFmtId="0" fontId="0" fillId="0" borderId="4" xfId="0" applyBorder="1" applyAlignment="1">
      <alignment vertical="center"/>
    </xf>
    <xf numFmtId="171" fontId="0" fillId="2" borderId="3" xfId="0" applyNumberFormat="1" applyFill="1" applyBorder="1" applyAlignment="1">
      <alignment vertical="center"/>
    </xf>
    <xf numFmtId="170" fontId="0" fillId="2" borderId="23" xfId="0" applyNumberFormat="1" applyFill="1" applyBorder="1" applyAlignment="1">
      <alignment vertical="center"/>
    </xf>
    <xf numFmtId="171" fontId="0" fillId="2" borderId="30" xfId="0" applyNumberFormat="1" applyFill="1" applyBorder="1" applyAlignment="1">
      <alignment vertical="center"/>
    </xf>
    <xf numFmtId="171" fontId="0" fillId="2" borderId="21" xfId="0" applyNumberFormat="1" applyFill="1" applyBorder="1" applyAlignment="1">
      <alignment vertical="center"/>
    </xf>
    <xf numFmtId="170" fontId="0" fillId="2" borderId="39" xfId="0" applyNumberFormat="1" applyFill="1" applyBorder="1" applyAlignment="1">
      <alignment vertical="center"/>
    </xf>
    <xf numFmtId="164" fontId="0" fillId="2" borderId="21" xfId="0" applyNumberFormat="1" applyFill="1" applyBorder="1" applyAlignment="1">
      <alignment vertical="center"/>
    </xf>
    <xf numFmtId="164" fontId="0" fillId="2" borderId="4" xfId="0" applyNumberFormat="1" applyFill="1" applyBorder="1" applyAlignment="1">
      <alignment vertical="center"/>
    </xf>
    <xf numFmtId="164" fontId="8" fillId="3" borderId="56" xfId="0" applyNumberFormat="1" applyFont="1" applyFill="1" applyBorder="1" applyAlignment="1">
      <alignment vertical="center"/>
    </xf>
    <xf numFmtId="171" fontId="0" fillId="2" borderId="1" xfId="0" applyNumberFormat="1" applyFill="1" applyBorder="1" applyAlignment="1">
      <alignment vertical="center"/>
    </xf>
    <xf numFmtId="170" fontId="0" fillId="2" borderId="14" xfId="0" applyNumberFormat="1" applyFill="1" applyBorder="1" applyAlignment="1">
      <alignment vertical="center"/>
    </xf>
    <xf numFmtId="171" fontId="0" fillId="2" borderId="12" xfId="0" applyNumberFormat="1" applyFill="1" applyBorder="1" applyAlignment="1">
      <alignment vertical="center"/>
    </xf>
    <xf numFmtId="171" fontId="0" fillId="2" borderId="17" xfId="0" applyNumberFormat="1" applyFill="1" applyBorder="1" applyAlignment="1">
      <alignment vertical="center"/>
    </xf>
    <xf numFmtId="0" fontId="0" fillId="2" borderId="50" xfId="0" applyFill="1" applyBorder="1" applyAlignment="1">
      <alignment vertical="center"/>
    </xf>
    <xf numFmtId="164" fontId="0" fillId="2" borderId="17" xfId="0" applyNumberForma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8" fillId="3" borderId="57" xfId="0" applyNumberFormat="1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171" fontId="0" fillId="2" borderId="15" xfId="0" applyNumberFormat="1" applyFill="1" applyBorder="1" applyAlignment="1">
      <alignment vertical="center"/>
    </xf>
    <xf numFmtId="170" fontId="0" fillId="2" borderId="9" xfId="0" applyNumberFormat="1" applyFill="1" applyBorder="1" applyAlignment="1">
      <alignment vertical="center"/>
    </xf>
    <xf numFmtId="171" fontId="0" fillId="2" borderId="54" xfId="0" applyNumberFormat="1" applyFill="1" applyBorder="1" applyAlignment="1">
      <alignment vertical="center"/>
    </xf>
    <xf numFmtId="171" fontId="0" fillId="2" borderId="20" xfId="0" applyNumberFormat="1" applyFill="1" applyBorder="1" applyAlignment="1">
      <alignment vertical="center"/>
    </xf>
    <xf numFmtId="0" fontId="0" fillId="2" borderId="49" xfId="0" applyFill="1" applyBorder="1" applyAlignment="1">
      <alignment vertical="center"/>
    </xf>
    <xf numFmtId="164" fontId="0" fillId="2" borderId="20" xfId="0" applyNumberFormat="1" applyFill="1" applyBorder="1" applyAlignment="1">
      <alignment vertical="center"/>
    </xf>
    <xf numFmtId="164" fontId="0" fillId="2" borderId="15" xfId="0" applyNumberFormat="1" applyFill="1" applyBorder="1" applyAlignment="1">
      <alignment vertical="center"/>
    </xf>
    <xf numFmtId="171" fontId="0" fillId="2" borderId="4" xfId="0" applyNumberFormat="1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164" fontId="8" fillId="3" borderId="58" xfId="0" applyNumberFormat="1" applyFont="1" applyFill="1" applyBorder="1" applyAlignment="1">
      <alignment vertical="center"/>
    </xf>
    <xf numFmtId="41" fontId="4" fillId="3" borderId="62" xfId="0" applyNumberFormat="1" applyFont="1" applyFill="1" applyBorder="1"/>
    <xf numFmtId="0" fontId="4" fillId="3" borderId="63" xfId="0" applyFont="1" applyFill="1" applyBorder="1"/>
    <xf numFmtId="0" fontId="4" fillId="3" borderId="64" xfId="0" applyFont="1" applyFill="1" applyBorder="1"/>
    <xf numFmtId="0" fontId="11" fillId="2" borderId="28" xfId="0" applyFont="1" applyFill="1" applyBorder="1" applyAlignment="1">
      <alignment horizontal="center" vertical="center"/>
    </xf>
    <xf numFmtId="0" fontId="0" fillId="2" borderId="28" xfId="0" applyFill="1" applyBorder="1"/>
    <xf numFmtId="41" fontId="4" fillId="3" borderId="67" xfId="0" applyNumberFormat="1" applyFont="1" applyFill="1" applyBorder="1"/>
    <xf numFmtId="0" fontId="4" fillId="3" borderId="68" xfId="0" applyFont="1" applyFill="1" applyBorder="1"/>
    <xf numFmtId="0" fontId="4" fillId="3" borderId="69" xfId="0" applyFont="1" applyFill="1" applyBorder="1"/>
    <xf numFmtId="0" fontId="13" fillId="3" borderId="70" xfId="0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1" fillId="11" borderId="11" xfId="0" applyFont="1" applyFill="1" applyBorder="1" applyAlignment="1">
      <alignment horizontal="center" vertical="center"/>
    </xf>
    <xf numFmtId="165" fontId="13" fillId="3" borderId="70" xfId="0" applyNumberFormat="1" applyFont="1" applyFill="1" applyBorder="1" applyAlignment="1">
      <alignment vertical="center"/>
    </xf>
    <xf numFmtId="165" fontId="13" fillId="3" borderId="71" xfId="0" applyNumberFormat="1" applyFont="1" applyFill="1" applyBorder="1" applyAlignment="1">
      <alignment vertical="center"/>
    </xf>
    <xf numFmtId="41" fontId="3" fillId="3" borderId="72" xfId="3" applyFont="1" applyFill="1" applyBorder="1" applyAlignment="1">
      <alignment horizontal="center" vertical="center"/>
    </xf>
    <xf numFmtId="41" fontId="3" fillId="3" borderId="73" xfId="3" applyFont="1" applyFill="1" applyBorder="1" applyAlignment="1">
      <alignment horizontal="center" vertical="center"/>
    </xf>
    <xf numFmtId="41" fontId="3" fillId="3" borderId="74" xfId="3" applyFont="1" applyFill="1" applyBorder="1" applyAlignment="1">
      <alignment horizontal="center" vertical="center"/>
    </xf>
    <xf numFmtId="41" fontId="3" fillId="3" borderId="75" xfId="3" applyFont="1" applyFill="1" applyBorder="1" applyAlignment="1">
      <alignment horizontal="center" vertical="center"/>
    </xf>
    <xf numFmtId="41" fontId="3" fillId="3" borderId="76" xfId="3" applyFont="1" applyFill="1" applyBorder="1" applyAlignment="1">
      <alignment horizontal="center" vertical="center"/>
    </xf>
    <xf numFmtId="165" fontId="19" fillId="3" borderId="77" xfId="3" applyNumberFormat="1" applyFont="1" applyFill="1" applyBorder="1" applyAlignment="1">
      <alignment horizontal="center" vertical="center"/>
    </xf>
    <xf numFmtId="165" fontId="19" fillId="3" borderId="78" xfId="3" applyNumberFormat="1" applyFont="1" applyFill="1" applyBorder="1" applyAlignment="1">
      <alignment horizontal="center" vertical="center"/>
    </xf>
    <xf numFmtId="165" fontId="19" fillId="3" borderId="79" xfId="3" applyNumberFormat="1" applyFont="1" applyFill="1" applyBorder="1" applyAlignment="1">
      <alignment horizontal="center" vertical="center"/>
    </xf>
    <xf numFmtId="165" fontId="19" fillId="3" borderId="80" xfId="3" applyNumberFormat="1" applyFont="1" applyFill="1" applyBorder="1" applyAlignment="1">
      <alignment horizontal="center" vertical="center"/>
    </xf>
    <xf numFmtId="165" fontId="19" fillId="3" borderId="81" xfId="3" applyNumberFormat="1" applyFont="1" applyFill="1" applyBorder="1" applyAlignment="1">
      <alignment horizontal="center" vertical="center"/>
    </xf>
    <xf numFmtId="165" fontId="13" fillId="3" borderId="82" xfId="0" applyNumberFormat="1" applyFont="1" applyFill="1" applyBorder="1" applyAlignment="1">
      <alignment vertical="center"/>
    </xf>
    <xf numFmtId="167" fontId="0" fillId="0" borderId="14" xfId="3" applyNumberFormat="1" applyFont="1" applyBorder="1"/>
    <xf numFmtId="167" fontId="0" fillId="0" borderId="16" xfId="3" applyNumberFormat="1" applyFont="1" applyBorder="1"/>
    <xf numFmtId="167" fontId="0" fillId="0" borderId="10" xfId="3" applyNumberFormat="1" applyFont="1" applyBorder="1"/>
    <xf numFmtId="167" fontId="0" fillId="0" borderId="9" xfId="3" applyNumberFormat="1" applyFont="1" applyBorder="1"/>
    <xf numFmtId="167" fontId="1" fillId="2" borderId="23" xfId="3" applyNumberFormat="1" applyFont="1" applyFill="1" applyBorder="1" applyAlignment="1">
      <alignment horizontal="center" vertical="center"/>
    </xf>
    <xf numFmtId="166" fontId="0" fillId="2" borderId="16" xfId="3" applyNumberFormat="1" applyFont="1" applyFill="1" applyBorder="1" applyAlignment="1">
      <alignment horizontal="center" vertical="center"/>
    </xf>
    <xf numFmtId="167" fontId="0" fillId="2" borderId="83" xfId="3" applyNumberFormat="1" applyFont="1" applyFill="1" applyBorder="1"/>
    <xf numFmtId="167" fontId="0" fillId="2" borderId="84" xfId="3" applyNumberFormat="1" applyFont="1" applyFill="1" applyBorder="1"/>
    <xf numFmtId="167" fontId="0" fillId="2" borderId="51" xfId="3" applyNumberFormat="1" applyFont="1" applyFill="1" applyBorder="1"/>
    <xf numFmtId="167" fontId="0" fillId="2" borderId="48" xfId="3" applyNumberFormat="1" applyFont="1" applyFill="1" applyBorder="1"/>
    <xf numFmtId="167" fontId="1" fillId="2" borderId="59" xfId="3" applyNumberFormat="1" applyFont="1" applyFill="1" applyBorder="1" applyAlignment="1">
      <alignment horizontal="center" vertical="center"/>
    </xf>
    <xf numFmtId="167" fontId="1" fillId="2" borderId="84" xfId="3" applyNumberFormat="1" applyFont="1" applyFill="1" applyBorder="1" applyAlignment="1">
      <alignment horizontal="center" vertical="center"/>
    </xf>
    <xf numFmtId="171" fontId="2" fillId="7" borderId="17" xfId="0" applyNumberFormat="1" applyFont="1" applyFill="1" applyBorder="1" applyAlignment="1">
      <alignment horizontal="center" vertical="center"/>
    </xf>
    <xf numFmtId="171" fontId="2" fillId="7" borderId="20" xfId="0" applyNumberFormat="1" applyFont="1" applyFill="1" applyBorder="1" applyAlignment="1">
      <alignment horizontal="center" vertical="center"/>
    </xf>
    <xf numFmtId="171" fontId="2" fillId="7" borderId="21" xfId="0" applyNumberFormat="1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164" fontId="2" fillId="7" borderId="14" xfId="0" applyNumberFormat="1" applyFont="1" applyFill="1" applyBorder="1" applyAlignment="1">
      <alignment horizontal="center" vertical="center"/>
    </xf>
    <xf numFmtId="164" fontId="2" fillId="7" borderId="9" xfId="0" applyNumberFormat="1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164" fontId="20" fillId="2" borderId="17" xfId="0" applyNumberFormat="1" applyFont="1" applyFill="1" applyBorder="1" applyAlignment="1">
      <alignment vertical="center"/>
    </xf>
    <xf numFmtId="164" fontId="20" fillId="2" borderId="20" xfId="0" applyNumberFormat="1" applyFont="1" applyFill="1" applyBorder="1" applyAlignment="1">
      <alignment vertical="center"/>
    </xf>
    <xf numFmtId="164" fontId="20" fillId="2" borderId="21" xfId="0" applyNumberFormat="1" applyFont="1" applyFill="1" applyBorder="1" applyAlignment="1">
      <alignment vertical="center"/>
    </xf>
    <xf numFmtId="164" fontId="20" fillId="2" borderId="18" xfId="0" applyNumberFormat="1" applyFont="1" applyFill="1" applyBorder="1" applyAlignment="1">
      <alignment vertical="center"/>
    </xf>
    <xf numFmtId="172" fontId="6" fillId="3" borderId="14" xfId="0" applyNumberFormat="1" applyFont="1" applyFill="1" applyBorder="1" applyAlignment="1">
      <alignment vertical="center"/>
    </xf>
    <xf numFmtId="172" fontId="6" fillId="3" borderId="9" xfId="0" applyNumberFormat="1" applyFont="1" applyFill="1" applyBorder="1" applyAlignment="1">
      <alignment vertical="center"/>
    </xf>
    <xf numFmtId="172" fontId="6" fillId="3" borderId="85" xfId="0" applyNumberFormat="1" applyFont="1" applyFill="1" applyBorder="1" applyAlignment="1">
      <alignment vertical="center"/>
    </xf>
    <xf numFmtId="167" fontId="2" fillId="0" borderId="17" xfId="3" applyNumberFormat="1" applyFont="1" applyBorder="1"/>
    <xf numFmtId="167" fontId="2" fillId="0" borderId="20" xfId="3" applyNumberFormat="1" applyFont="1" applyBorder="1"/>
    <xf numFmtId="167" fontId="2" fillId="0" borderId="21" xfId="3" applyNumberFormat="1" applyFont="1" applyBorder="1"/>
    <xf numFmtId="170" fontId="2" fillId="7" borderId="3" xfId="0" applyNumberFormat="1" applyFont="1" applyFill="1" applyBorder="1" applyAlignment="1">
      <alignment horizontal="center" vertical="center"/>
    </xf>
    <xf numFmtId="171" fontId="2" fillId="7" borderId="19" xfId="0" applyNumberFormat="1" applyFont="1" applyFill="1" applyBorder="1" applyAlignment="1">
      <alignment horizontal="center" vertical="center"/>
    </xf>
    <xf numFmtId="172" fontId="6" fillId="3" borderId="10" xfId="0" applyNumberFormat="1" applyFont="1" applyFill="1" applyBorder="1" applyAlignment="1">
      <alignment vertical="center"/>
    </xf>
    <xf numFmtId="164" fontId="2" fillId="7" borderId="10" xfId="0" applyNumberFormat="1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3" fillId="3" borderId="86" xfId="0" applyFont="1" applyFill="1" applyBorder="1" applyAlignment="1">
      <alignment horizontal="center" vertical="center"/>
    </xf>
    <xf numFmtId="167" fontId="0" fillId="0" borderId="4" xfId="3" applyNumberFormat="1" applyFont="1" applyBorder="1"/>
    <xf numFmtId="167" fontId="0" fillId="0" borderId="23" xfId="3" applyNumberFormat="1" applyFont="1" applyBorder="1"/>
    <xf numFmtId="167" fontId="0" fillId="2" borderId="33" xfId="3" applyNumberFormat="1" applyFont="1" applyFill="1" applyBorder="1"/>
    <xf numFmtId="0" fontId="13" fillId="2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173" fontId="0" fillId="0" borderId="4" xfId="3" applyNumberFormat="1" applyFont="1" applyBorder="1"/>
    <xf numFmtId="174" fontId="0" fillId="2" borderId="3" xfId="3" applyNumberFormat="1" applyFont="1" applyFill="1" applyBorder="1"/>
    <xf numFmtId="174" fontId="0" fillId="2" borderId="1" xfId="3" applyNumberFormat="1" applyFont="1" applyFill="1" applyBorder="1"/>
    <xf numFmtId="174" fontId="0" fillId="2" borderId="15" xfId="3" applyNumberFormat="1" applyFont="1" applyFill="1" applyBorder="1"/>
    <xf numFmtId="174" fontId="0" fillId="2" borderId="4" xfId="3" applyNumberFormat="1" applyFont="1" applyFill="1" applyBorder="1"/>
    <xf numFmtId="173" fontId="20" fillId="2" borderId="19" xfId="3" applyNumberFormat="1" applyFont="1" applyFill="1" applyBorder="1" applyAlignment="1">
      <alignment vertical="center"/>
    </xf>
    <xf numFmtId="173" fontId="20" fillId="2" borderId="3" xfId="3" applyNumberFormat="1" applyFont="1" applyFill="1" applyBorder="1" applyAlignment="1">
      <alignment vertical="center"/>
    </xf>
    <xf numFmtId="41" fontId="3" fillId="9" borderId="17" xfId="3" applyFont="1" applyFill="1" applyBorder="1"/>
    <xf numFmtId="170" fontId="3" fillId="9" borderId="17" xfId="3" applyNumberFormat="1" applyFont="1" applyFill="1" applyBorder="1"/>
    <xf numFmtId="41" fontId="3" fillId="9" borderId="20" xfId="3" applyFont="1" applyFill="1" applyBorder="1"/>
    <xf numFmtId="41" fontId="3" fillId="9" borderId="21" xfId="3" applyFont="1" applyFill="1" applyBorder="1"/>
    <xf numFmtId="0" fontId="11" fillId="2" borderId="15" xfId="0" applyFont="1" applyFill="1" applyBorder="1" applyAlignment="1">
      <alignment horizontal="center" vertical="center"/>
    </xf>
    <xf numFmtId="0" fontId="11" fillId="2" borderId="4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71" fontId="1" fillId="2" borderId="26" xfId="3" applyNumberFormat="1" applyFont="1" applyFill="1" applyBorder="1" applyAlignment="1">
      <alignment horizontal="center" vertical="center"/>
    </xf>
    <xf numFmtId="171" fontId="1" fillId="2" borderId="55" xfId="3" applyNumberFormat="1" applyFont="1" applyFill="1" applyBorder="1" applyAlignment="1">
      <alignment horizontal="center" vertical="center"/>
    </xf>
    <xf numFmtId="170" fontId="1" fillId="2" borderId="5" xfId="3" applyNumberFormat="1" applyFont="1" applyFill="1" applyBorder="1" applyAlignment="1">
      <alignment horizontal="center" vertical="center"/>
    </xf>
    <xf numFmtId="170" fontId="1" fillId="2" borderId="42" xfId="3" applyNumberFormat="1" applyFont="1" applyFill="1" applyBorder="1" applyAlignment="1">
      <alignment horizontal="center" vertical="center"/>
    </xf>
    <xf numFmtId="164" fontId="1" fillId="2" borderId="43" xfId="3" applyNumberFormat="1" applyFont="1" applyFill="1" applyBorder="1" applyAlignment="1">
      <alignment horizontal="center" vertical="center"/>
    </xf>
    <xf numFmtId="164" fontId="1" fillId="2" borderId="44" xfId="3" applyNumberFormat="1" applyFont="1" applyFill="1" applyBorder="1" applyAlignment="1">
      <alignment horizontal="center" vertical="center"/>
    </xf>
    <xf numFmtId="164" fontId="1" fillId="2" borderId="5" xfId="3" applyNumberFormat="1" applyFont="1" applyFill="1" applyBorder="1" applyAlignment="1">
      <alignment horizontal="center" vertical="center"/>
    </xf>
    <xf numFmtId="164" fontId="1" fillId="2" borderId="42" xfId="3" applyNumberFormat="1" applyFont="1" applyFill="1" applyBorder="1" applyAlignment="1">
      <alignment horizontal="center" vertical="center"/>
    </xf>
    <xf numFmtId="164" fontId="1" fillId="2" borderId="26" xfId="3" applyNumberFormat="1" applyFont="1" applyFill="1" applyBorder="1" applyAlignment="1">
      <alignment horizontal="center" vertical="center"/>
    </xf>
    <xf numFmtId="164" fontId="1" fillId="2" borderId="55" xfId="3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11" fillId="2" borderId="83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1" fillId="2" borderId="84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171" fontId="1" fillId="2" borderId="21" xfId="3" applyNumberFormat="1" applyFont="1" applyFill="1" applyBorder="1" applyAlignment="1">
      <alignment horizontal="center" vertical="center"/>
    </xf>
    <xf numFmtId="171" fontId="1" fillId="2" borderId="18" xfId="3" applyNumberFormat="1" applyFont="1" applyFill="1" applyBorder="1" applyAlignment="1">
      <alignment horizontal="center" vertical="center"/>
    </xf>
    <xf numFmtId="170" fontId="1" fillId="2" borderId="46" xfId="3" applyNumberFormat="1" applyFont="1" applyFill="1" applyBorder="1" applyAlignment="1">
      <alignment horizontal="center" vertical="center"/>
    </xf>
    <xf numFmtId="170" fontId="1" fillId="2" borderId="47" xfId="3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3" fillId="2" borderId="53" xfId="0" applyFont="1" applyFill="1" applyBorder="1" applyAlignment="1">
      <alignment horizontal="center" wrapText="1"/>
    </xf>
    <xf numFmtId="0" fontId="13" fillId="2" borderId="30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2" borderId="7" xfId="0" applyFont="1" applyFill="1" applyBorder="1" applyAlignment="1">
      <alignment horizontal="center" wrapText="1"/>
    </xf>
    <xf numFmtId="0" fontId="13" fillId="2" borderId="29" xfId="0" applyFont="1" applyFill="1" applyBorder="1" applyAlignment="1">
      <alignment horizontal="center" wrapText="1"/>
    </xf>
    <xf numFmtId="0" fontId="13" fillId="2" borderId="12" xfId="0" applyFont="1" applyFill="1" applyBorder="1" applyAlignment="1">
      <alignment horizontal="center" wrapText="1"/>
    </xf>
    <xf numFmtId="0" fontId="1" fillId="7" borderId="66" xfId="0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28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3" fillId="0" borderId="53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54" xfId="0" applyFont="1" applyBorder="1" applyAlignment="1">
      <alignment horizont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168" fontId="5" fillId="10" borderId="5" xfId="0" applyNumberFormat="1" applyFont="1" applyFill="1" applyBorder="1" applyAlignment="1">
      <alignment horizontal="center" vertical="center"/>
    </xf>
    <xf numFmtId="168" fontId="5" fillId="10" borderId="3" xfId="0" applyNumberFormat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41" fontId="1" fillId="9" borderId="26" xfId="3" applyFont="1" applyFill="1" applyBorder="1" applyAlignment="1">
      <alignment horizontal="center" vertical="center"/>
    </xf>
    <xf numFmtId="41" fontId="1" fillId="9" borderId="19" xfId="3" applyFont="1" applyFill="1" applyBorder="1" applyAlignment="1">
      <alignment horizontal="center" vertical="center"/>
    </xf>
    <xf numFmtId="169" fontId="1" fillId="9" borderId="5" xfId="3" applyNumberFormat="1" applyFont="1" applyFill="1" applyBorder="1" applyAlignment="1">
      <alignment horizontal="center" vertical="center"/>
    </xf>
    <xf numFmtId="169" fontId="1" fillId="9" borderId="3" xfId="3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textRotation="255"/>
    </xf>
    <xf numFmtId="0" fontId="12" fillId="3" borderId="2" xfId="0" applyFont="1" applyFill="1" applyBorder="1" applyAlignment="1">
      <alignment horizontal="center" vertical="center" textRotation="255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wrapText="1"/>
    </xf>
    <xf numFmtId="41" fontId="3" fillId="9" borderId="26" xfId="3" applyFont="1" applyFill="1" applyBorder="1" applyAlignment="1">
      <alignment horizontal="center" vertical="center"/>
    </xf>
    <xf numFmtId="41" fontId="3" fillId="9" borderId="19" xfId="3" applyFont="1" applyFill="1" applyBorder="1" applyAlignment="1">
      <alignment horizontal="center" vertical="center"/>
    </xf>
    <xf numFmtId="170" fontId="1" fillId="9" borderId="5" xfId="3" applyNumberFormat="1" applyFont="1" applyFill="1" applyBorder="1" applyAlignment="1">
      <alignment horizontal="center" vertical="center"/>
    </xf>
    <xf numFmtId="170" fontId="1" fillId="9" borderId="3" xfId="3" applyNumberFormat="1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3" borderId="4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6" fillId="4" borderId="0" xfId="0" applyFont="1" applyFill="1" applyBorder="1" applyAlignment="1">
      <alignment horizontal="center" textRotation="255"/>
    </xf>
    <xf numFmtId="0" fontId="6" fillId="4" borderId="87" xfId="0" applyFont="1" applyFill="1" applyBorder="1" applyAlignment="1">
      <alignment horizontal="center" textRotation="255"/>
    </xf>
    <xf numFmtId="170" fontId="15" fillId="4" borderId="45" xfId="3" applyNumberFormat="1" applyFont="1" applyFill="1" applyBorder="1" applyAlignment="1">
      <alignment horizontal="center" textRotation="255"/>
    </xf>
    <xf numFmtId="170" fontId="15" fillId="4" borderId="88" xfId="3" applyNumberFormat="1" applyFont="1" applyFill="1" applyBorder="1" applyAlignment="1">
      <alignment horizontal="center" textRotation="255"/>
    </xf>
    <xf numFmtId="171" fontId="10" fillId="0" borderId="13" xfId="3" applyNumberFormat="1" applyFont="1" applyBorder="1" applyAlignment="1">
      <alignment horizontal="right" vertical="center"/>
    </xf>
    <xf numFmtId="170" fontId="10" fillId="0" borderId="9" xfId="3" applyNumberFormat="1" applyFont="1" applyBorder="1" applyAlignment="1">
      <alignment horizontal="right" vertical="center"/>
    </xf>
    <xf numFmtId="0" fontId="16" fillId="5" borderId="14" xfId="0" applyFont="1" applyFill="1" applyBorder="1" applyAlignment="1">
      <alignment horizontal="center" vertical="center" wrapText="1"/>
    </xf>
    <xf numFmtId="41" fontId="18" fillId="5" borderId="17" xfId="3" applyFont="1" applyFill="1" applyBorder="1"/>
    <xf numFmtId="41" fontId="0" fillId="5" borderId="14" xfId="3" applyFont="1" applyFill="1" applyBorder="1"/>
    <xf numFmtId="41" fontId="0" fillId="5" borderId="16" xfId="3" applyFont="1" applyFill="1" applyBorder="1"/>
    <xf numFmtId="41" fontId="0" fillId="5" borderId="10" xfId="3" applyFont="1" applyFill="1" applyBorder="1"/>
    <xf numFmtId="41" fontId="0" fillId="5" borderId="9" xfId="3" applyFont="1" applyFill="1" applyBorder="1"/>
    <xf numFmtId="41" fontId="9" fillId="5" borderId="14" xfId="3" applyFont="1" applyFill="1" applyBorder="1"/>
    <xf numFmtId="41" fontId="0" fillId="12" borderId="17" xfId="3" applyFont="1" applyFill="1" applyBorder="1"/>
    <xf numFmtId="41" fontId="0" fillId="12" borderId="18" xfId="3" applyFont="1" applyFill="1" applyBorder="1"/>
    <xf numFmtId="41" fontId="0" fillId="12" borderId="19" xfId="3" applyFont="1" applyFill="1" applyBorder="1"/>
    <xf numFmtId="41" fontId="0" fillId="12" borderId="20" xfId="3" applyFont="1" applyFill="1" applyBorder="1"/>
    <xf numFmtId="41" fontId="22" fillId="12" borderId="17" xfId="3" applyFont="1" applyFill="1" applyBorder="1"/>
    <xf numFmtId="41" fontId="23" fillId="12" borderId="17" xfId="3" applyFont="1" applyFill="1" applyBorder="1"/>
    <xf numFmtId="41" fontId="23" fillId="12" borderId="18" xfId="3" applyFont="1" applyFill="1" applyBorder="1"/>
    <xf numFmtId="41" fontId="23" fillId="12" borderId="19" xfId="3" applyFont="1" applyFill="1" applyBorder="1"/>
    <xf numFmtId="41" fontId="23" fillId="12" borderId="20" xfId="3" applyFont="1" applyFill="1" applyBorder="1"/>
    <xf numFmtId="41" fontId="14" fillId="12" borderId="17" xfId="3" applyFont="1" applyFill="1" applyBorder="1"/>
    <xf numFmtId="172" fontId="3" fillId="3" borderId="89" xfId="3" applyNumberFormat="1" applyFont="1" applyFill="1" applyBorder="1" applyAlignment="1">
      <alignment horizontal="center" vertical="center"/>
    </xf>
    <xf numFmtId="172" fontId="3" fillId="3" borderId="47" xfId="3" applyNumberFormat="1" applyFont="1" applyFill="1" applyBorder="1" applyAlignment="1">
      <alignment horizontal="center" vertical="center"/>
    </xf>
    <xf numFmtId="174" fontId="0" fillId="0" borderId="30" xfId="3" applyNumberFormat="1" applyFont="1" applyBorder="1"/>
    <xf numFmtId="174" fontId="0" fillId="0" borderId="4" xfId="3" applyNumberFormat="1" applyFont="1" applyBorder="1"/>
    <xf numFmtId="174" fontId="0" fillId="0" borderId="23" xfId="3" applyNumberFormat="1" applyFont="1" applyBorder="1"/>
    <xf numFmtId="174" fontId="0" fillId="0" borderId="1" xfId="3" applyNumberFormat="1" applyFont="1" applyBorder="1"/>
    <xf numFmtId="174" fontId="0" fillId="0" borderId="14" xfId="3" applyNumberFormat="1" applyFont="1" applyBorder="1"/>
    <xf numFmtId="174" fontId="0" fillId="0" borderId="13" xfId="3" applyNumberFormat="1" applyFont="1" applyBorder="1"/>
    <xf numFmtId="174" fontId="0" fillId="0" borderId="16" xfId="3" applyNumberFormat="1" applyFont="1" applyBorder="1"/>
    <xf numFmtId="174" fontId="0" fillId="0" borderId="3" xfId="3" applyNumberFormat="1" applyFont="1" applyBorder="1"/>
    <xf numFmtId="174" fontId="0" fillId="0" borderId="10" xfId="3" applyNumberFormat="1" applyFont="1" applyBorder="1"/>
    <xf numFmtId="174" fontId="0" fillId="0" borderId="15" xfId="3" applyNumberFormat="1" applyFont="1" applyBorder="1"/>
    <xf numFmtId="174" fontId="0" fillId="0" borderId="9" xfId="3" applyNumberFormat="1" applyFont="1" applyBorder="1"/>
    <xf numFmtId="0" fontId="5" fillId="5" borderId="66" xfId="0" applyFont="1" applyFill="1" applyBorder="1" applyAlignment="1">
      <alignment horizontal="center" vertical="center"/>
    </xf>
    <xf numFmtId="0" fontId="5" fillId="5" borderId="65" xfId="0" applyFont="1" applyFill="1" applyBorder="1" applyAlignment="1">
      <alignment horizontal="center" vertical="center"/>
    </xf>
    <xf numFmtId="174" fontId="5" fillId="5" borderId="15" xfId="3" applyNumberFormat="1" applyFont="1" applyFill="1" applyBorder="1" applyAlignment="1">
      <alignment vertical="center"/>
    </xf>
    <xf numFmtId="173" fontId="5" fillId="5" borderId="15" xfId="3" applyNumberFormat="1" applyFont="1" applyFill="1" applyBorder="1" applyAlignment="1">
      <alignment vertical="center"/>
    </xf>
    <xf numFmtId="41" fontId="5" fillId="5" borderId="15" xfId="3" applyFont="1" applyFill="1" applyBorder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24" fillId="3" borderId="7" xfId="0" applyFont="1" applyFill="1" applyBorder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0" fontId="25" fillId="6" borderId="25" xfId="0" applyFont="1" applyFill="1" applyBorder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0" fontId="11" fillId="2" borderId="42" xfId="0" applyFont="1" applyFill="1" applyBorder="1" applyAlignment="1">
      <alignment horizontal="center" vertical="center" wrapText="1"/>
    </xf>
    <xf numFmtId="0" fontId="11" fillId="2" borderId="90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/>
    </xf>
    <xf numFmtId="0" fontId="26" fillId="5" borderId="87" xfId="0" applyFont="1" applyFill="1" applyBorder="1" applyAlignment="1">
      <alignment horizontal="center" vertical="center"/>
    </xf>
    <xf numFmtId="174" fontId="17" fillId="11" borderId="21" xfId="3" applyNumberFormat="1" applyFont="1" applyFill="1" applyBorder="1"/>
    <xf numFmtId="174" fontId="17" fillId="11" borderId="4" xfId="3" applyNumberFormat="1" applyFont="1" applyFill="1" applyBorder="1"/>
    <xf numFmtId="174" fontId="17" fillId="11" borderId="17" xfId="3" applyNumberFormat="1" applyFont="1" applyFill="1" applyBorder="1"/>
    <xf numFmtId="174" fontId="17" fillId="11" borderId="1" xfId="3" applyNumberFormat="1" applyFont="1" applyFill="1" applyBorder="1"/>
    <xf numFmtId="174" fontId="17" fillId="11" borderId="18" xfId="3" applyNumberFormat="1" applyFont="1" applyFill="1" applyBorder="1"/>
    <xf numFmtId="174" fontId="17" fillId="11" borderId="13" xfId="3" applyNumberFormat="1" applyFont="1" applyFill="1" applyBorder="1"/>
    <xf numFmtId="174" fontId="17" fillId="11" borderId="19" xfId="3" applyNumberFormat="1" applyFont="1" applyFill="1" applyBorder="1"/>
    <xf numFmtId="174" fontId="17" fillId="11" borderId="3" xfId="3" applyNumberFormat="1" applyFont="1" applyFill="1" applyBorder="1"/>
    <xf numFmtId="174" fontId="17" fillId="11" borderId="20" xfId="3" applyNumberFormat="1" applyFont="1" applyFill="1" applyBorder="1"/>
    <xf numFmtId="174" fontId="17" fillId="11" borderId="15" xfId="3" applyNumberFormat="1" applyFont="1" applyFill="1" applyBorder="1"/>
    <xf numFmtId="41" fontId="17" fillId="11" borderId="21" xfId="3" applyFont="1" applyFill="1" applyBorder="1"/>
    <xf numFmtId="41" fontId="17" fillId="11" borderId="4" xfId="3" applyFont="1" applyFill="1" applyBorder="1"/>
    <xf numFmtId="41" fontId="17" fillId="11" borderId="17" xfId="3" applyFont="1" applyFill="1" applyBorder="1"/>
    <xf numFmtId="41" fontId="17" fillId="11" borderId="1" xfId="3" applyFont="1" applyFill="1" applyBorder="1"/>
    <xf numFmtId="41" fontId="17" fillId="11" borderId="18" xfId="3" applyFont="1" applyFill="1" applyBorder="1"/>
    <xf numFmtId="41" fontId="17" fillId="11" borderId="13" xfId="3" applyFont="1" applyFill="1" applyBorder="1"/>
    <xf numFmtId="41" fontId="17" fillId="11" borderId="19" xfId="3" applyFont="1" applyFill="1" applyBorder="1"/>
    <xf numFmtId="41" fontId="17" fillId="11" borderId="3" xfId="3" applyFont="1" applyFill="1" applyBorder="1"/>
    <xf numFmtId="41" fontId="17" fillId="11" borderId="20" xfId="3" applyFont="1" applyFill="1" applyBorder="1"/>
    <xf numFmtId="41" fontId="17" fillId="11" borderId="15" xfId="3" applyFont="1" applyFill="1" applyBorder="1"/>
    <xf numFmtId="41" fontId="23" fillId="7" borderId="4" xfId="3" applyFont="1" applyFill="1" applyBorder="1"/>
  </cellXfs>
  <cellStyles count="4">
    <cellStyle name="Comma [0]" xfId="3" builtinId="6"/>
    <cellStyle name="Comma 2" xfId="2" xr:uid="{D1FEF7F7-B44A-4F18-B413-38F3E72A066B}"/>
    <cellStyle name="Normal" xfId="0" builtinId="0"/>
    <cellStyle name="Normal 2" xfId="1" xr:uid="{58CDB328-8B96-4EF4-B9D2-552F1C63A442}"/>
  </cellStyles>
  <dxfs count="8">
    <dxf>
      <font>
        <color theme="0"/>
      </font>
      <fill>
        <patternFill>
          <bgColor rgb="FFFF00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strike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  <strike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2DAE-46A6-4892-9D4A-05799D07303E}">
  <dimension ref="A1:AJ26"/>
  <sheetViews>
    <sheetView zoomScale="80" zoomScaleNormal="80" workbookViewId="0">
      <pane ySplit="25" topLeftCell="A26" activePane="bottomLeft" state="frozen"/>
      <selection pane="bottomLeft" activeCell="U5" sqref="U5"/>
    </sheetView>
  </sheetViews>
  <sheetFormatPr defaultRowHeight="15" x14ac:dyDescent="0.25"/>
  <cols>
    <col min="1" max="1" width="4.7109375" customWidth="1"/>
    <col min="2" max="2" width="4.28515625" style="45" customWidth="1"/>
    <col min="3" max="3" width="8.7109375" bestFit="1" customWidth="1"/>
    <col min="4" max="4" width="9.7109375" bestFit="1" customWidth="1"/>
    <col min="5" max="5" width="8.5703125" bestFit="1" customWidth="1"/>
    <col min="6" max="7" width="8.7109375" bestFit="1" customWidth="1"/>
    <col min="8" max="10" width="8.5703125" bestFit="1" customWidth="1"/>
    <col min="11" max="11" width="8.7109375" bestFit="1" customWidth="1"/>
    <col min="12" max="12" width="1.7109375" customWidth="1"/>
    <col min="13" max="13" width="4.140625" style="7" bestFit="1" customWidth="1"/>
    <col min="14" max="14" width="7.7109375" customWidth="1"/>
    <col min="15" max="16" width="7.42578125" bestFit="1" customWidth="1"/>
    <col min="17" max="17" width="9.42578125" bestFit="1" customWidth="1"/>
    <col min="18" max="22" width="6.7109375" customWidth="1"/>
    <col min="23" max="23" width="1.7109375" customWidth="1"/>
    <col min="24" max="24" width="4.140625" style="7" bestFit="1" customWidth="1"/>
    <col min="25" max="25" width="7.7109375" customWidth="1"/>
    <col min="26" max="26" width="10" bestFit="1" customWidth="1"/>
    <col min="27" max="27" width="7.42578125" bestFit="1" customWidth="1"/>
    <col min="28" max="28" width="9.42578125" bestFit="1" customWidth="1"/>
    <col min="29" max="29" width="8.5703125" bestFit="1" customWidth="1"/>
    <col min="30" max="33" width="7.42578125" bestFit="1" customWidth="1"/>
    <col min="34" max="34" width="1.7109375" customWidth="1"/>
  </cols>
  <sheetData>
    <row r="1" spans="1:36" ht="5.0999999999999996" customHeight="1" x14ac:dyDescent="0.25"/>
    <row r="2" spans="1:36" ht="20.100000000000001" customHeight="1" x14ac:dyDescent="0.25">
      <c r="A2" s="339" t="s">
        <v>6</v>
      </c>
      <c r="B2" s="339"/>
      <c r="C2" s="339"/>
      <c r="D2" s="339"/>
      <c r="E2" s="339"/>
      <c r="F2" s="339"/>
      <c r="G2" s="339"/>
      <c r="H2" s="339"/>
      <c r="I2" s="339"/>
      <c r="J2" s="339"/>
      <c r="K2" s="340"/>
      <c r="L2" s="259"/>
      <c r="M2" s="337" t="s">
        <v>13</v>
      </c>
      <c r="N2" s="337"/>
      <c r="O2" s="337"/>
      <c r="P2" s="337"/>
      <c r="Q2" s="337"/>
      <c r="R2" s="337"/>
      <c r="S2" s="337"/>
      <c r="T2" s="337"/>
      <c r="U2" s="337"/>
      <c r="V2" s="338"/>
      <c r="W2" s="247"/>
      <c r="X2" s="337" t="s">
        <v>15</v>
      </c>
      <c r="Y2" s="337"/>
      <c r="Z2" s="337"/>
      <c r="AA2" s="337"/>
      <c r="AB2" s="337"/>
      <c r="AC2" s="337"/>
      <c r="AD2" s="337"/>
      <c r="AE2" s="337"/>
      <c r="AF2" s="337"/>
      <c r="AG2" s="338"/>
      <c r="AH2" s="8"/>
      <c r="AI2" s="141"/>
      <c r="AJ2" s="141"/>
    </row>
    <row r="3" spans="1:36" ht="15" customHeight="1" thickBot="1" x14ac:dyDescent="0.3">
      <c r="A3" s="339"/>
      <c r="B3" s="339"/>
      <c r="C3" s="339"/>
      <c r="D3" s="339"/>
      <c r="E3" s="339"/>
      <c r="F3" s="339"/>
      <c r="G3" s="339"/>
      <c r="H3" s="339"/>
      <c r="I3" s="339"/>
      <c r="J3" s="339"/>
      <c r="K3" s="340"/>
      <c r="L3" s="259"/>
      <c r="M3" s="337"/>
      <c r="N3" s="337"/>
      <c r="O3" s="337"/>
      <c r="P3" s="337"/>
      <c r="Q3" s="337"/>
      <c r="R3" s="337"/>
      <c r="S3" s="337"/>
      <c r="T3" s="337"/>
      <c r="U3" s="337"/>
      <c r="V3" s="338"/>
      <c r="W3" s="247"/>
      <c r="X3" s="337"/>
      <c r="Y3" s="337"/>
      <c r="Z3" s="337"/>
      <c r="AA3" s="337"/>
      <c r="AB3" s="337"/>
      <c r="AC3" s="337"/>
      <c r="AD3" s="337"/>
      <c r="AE3" s="337"/>
      <c r="AF3" s="337"/>
      <c r="AG3" s="338"/>
      <c r="AH3" s="246"/>
      <c r="AI3" s="141"/>
      <c r="AJ3" s="141"/>
    </row>
    <row r="4" spans="1:36" ht="23.25" thickBot="1" x14ac:dyDescent="0.3">
      <c r="A4" s="260" t="s">
        <v>12</v>
      </c>
      <c r="B4" s="261"/>
      <c r="C4" s="53" t="s">
        <v>7</v>
      </c>
      <c r="D4" s="54" t="s">
        <v>8</v>
      </c>
      <c r="E4" s="54" t="s">
        <v>2</v>
      </c>
      <c r="F4" s="54" t="s">
        <v>38</v>
      </c>
      <c r="G4" s="54" t="s">
        <v>4</v>
      </c>
      <c r="H4" s="54" t="s">
        <v>5</v>
      </c>
      <c r="I4" s="94" t="s">
        <v>9</v>
      </c>
      <c r="J4" s="96" t="s">
        <v>10</v>
      </c>
      <c r="K4" s="55" t="s">
        <v>11</v>
      </c>
      <c r="L4" s="259"/>
      <c r="M4" s="60" t="s">
        <v>12</v>
      </c>
      <c r="N4" s="49" t="s">
        <v>7</v>
      </c>
      <c r="O4" s="50" t="s">
        <v>8</v>
      </c>
      <c r="P4" s="50" t="s">
        <v>2</v>
      </c>
      <c r="Q4" s="50" t="s">
        <v>3</v>
      </c>
      <c r="R4" s="50" t="s">
        <v>4</v>
      </c>
      <c r="S4" s="50" t="s">
        <v>5</v>
      </c>
      <c r="T4" s="93" t="s">
        <v>9</v>
      </c>
      <c r="U4" s="95" t="s">
        <v>10</v>
      </c>
      <c r="V4" s="51" t="s">
        <v>11</v>
      </c>
      <c r="W4" s="247"/>
      <c r="X4" s="60" t="s">
        <v>12</v>
      </c>
      <c r="Y4" s="53" t="s">
        <v>7</v>
      </c>
      <c r="Z4" s="54" t="s">
        <v>8</v>
      </c>
      <c r="AA4" s="54" t="s">
        <v>2</v>
      </c>
      <c r="AB4" s="54" t="s">
        <v>3</v>
      </c>
      <c r="AC4" s="54" t="s">
        <v>4</v>
      </c>
      <c r="AD4" s="54" t="s">
        <v>5</v>
      </c>
      <c r="AE4" s="94" t="s">
        <v>9</v>
      </c>
      <c r="AF4" s="96" t="s">
        <v>10</v>
      </c>
      <c r="AG4" s="55" t="s">
        <v>11</v>
      </c>
      <c r="AH4" s="246"/>
      <c r="AI4" s="141"/>
      <c r="AJ4" s="141"/>
    </row>
    <row r="5" spans="1:36" ht="17.100000000000001" customHeight="1" x14ac:dyDescent="0.25">
      <c r="A5" s="266">
        <v>1</v>
      </c>
      <c r="B5" s="267"/>
      <c r="C5" s="321"/>
      <c r="D5" s="322"/>
      <c r="E5" s="322"/>
      <c r="F5" s="322"/>
      <c r="G5" s="322"/>
      <c r="H5" s="322"/>
      <c r="I5" s="323"/>
      <c r="J5" s="346"/>
      <c r="K5" s="347"/>
      <c r="L5" s="259"/>
      <c r="M5" s="48">
        <v>1</v>
      </c>
      <c r="N5" s="205">
        <v>2</v>
      </c>
      <c r="O5" s="205">
        <v>3</v>
      </c>
      <c r="P5" s="22">
        <v>4</v>
      </c>
      <c r="Q5" s="22">
        <v>5</v>
      </c>
      <c r="R5" s="22">
        <v>6</v>
      </c>
      <c r="S5" s="22">
        <v>78</v>
      </c>
      <c r="T5" s="92">
        <v>9</v>
      </c>
      <c r="U5" s="356"/>
      <c r="V5" s="357"/>
      <c r="W5" s="247"/>
      <c r="X5" s="48">
        <v>1</v>
      </c>
      <c r="Y5" s="22">
        <v>100</v>
      </c>
      <c r="Z5" s="22"/>
      <c r="AA5" s="22"/>
      <c r="AB5" s="22"/>
      <c r="AC5" s="22"/>
      <c r="AD5" s="22"/>
      <c r="AE5" s="92"/>
      <c r="AF5" s="356"/>
      <c r="AG5" s="357"/>
      <c r="AH5" s="246"/>
      <c r="AI5" s="141"/>
      <c r="AJ5" s="141"/>
    </row>
    <row r="6" spans="1:36" ht="17.100000000000001" customHeight="1" x14ac:dyDescent="0.25">
      <c r="A6" s="268">
        <v>2</v>
      </c>
      <c r="B6" s="269"/>
      <c r="C6" s="324"/>
      <c r="D6" s="324"/>
      <c r="E6" s="324"/>
      <c r="F6" s="324"/>
      <c r="G6" s="324"/>
      <c r="H6" s="324"/>
      <c r="I6" s="325"/>
      <c r="J6" s="348"/>
      <c r="K6" s="349"/>
      <c r="L6" s="259"/>
      <c r="M6" s="5">
        <v>2</v>
      </c>
      <c r="N6" s="2"/>
      <c r="O6" s="2"/>
      <c r="P6" s="2"/>
      <c r="Q6" s="2"/>
      <c r="R6" s="2"/>
      <c r="S6" s="2"/>
      <c r="T6" s="24"/>
      <c r="U6" s="358"/>
      <c r="V6" s="359"/>
      <c r="W6" s="247"/>
      <c r="X6" s="5">
        <v>2</v>
      </c>
      <c r="Y6" s="2"/>
      <c r="Z6" s="2"/>
      <c r="AA6" s="2"/>
      <c r="AB6" s="2"/>
      <c r="AC6" s="2"/>
      <c r="AD6" s="2"/>
      <c r="AE6" s="24"/>
      <c r="AF6" s="358"/>
      <c r="AG6" s="359"/>
      <c r="AH6" s="246"/>
      <c r="AI6" s="141"/>
      <c r="AJ6" s="141"/>
    </row>
    <row r="7" spans="1:36" ht="17.100000000000001" customHeight="1" x14ac:dyDescent="0.25">
      <c r="A7" s="268">
        <v>3</v>
      </c>
      <c r="B7" s="269"/>
      <c r="C7" s="324"/>
      <c r="D7" s="324"/>
      <c r="E7" s="324"/>
      <c r="F7" s="324"/>
      <c r="G7" s="324"/>
      <c r="H7" s="324"/>
      <c r="I7" s="325"/>
      <c r="J7" s="348"/>
      <c r="K7" s="349"/>
      <c r="L7" s="259"/>
      <c r="M7" s="5">
        <v>3</v>
      </c>
      <c r="N7" s="2"/>
      <c r="O7" s="2"/>
      <c r="P7" s="2"/>
      <c r="Q7" s="2"/>
      <c r="R7" s="2"/>
      <c r="S7" s="2"/>
      <c r="T7" s="24"/>
      <c r="U7" s="358"/>
      <c r="V7" s="359"/>
      <c r="W7" s="247"/>
      <c r="X7" s="5">
        <v>3</v>
      </c>
      <c r="Y7" s="2"/>
      <c r="Z7" s="2"/>
      <c r="AA7" s="2"/>
      <c r="AB7" s="2"/>
      <c r="AC7" s="2"/>
      <c r="AD7" s="2"/>
      <c r="AE7" s="24"/>
      <c r="AF7" s="358"/>
      <c r="AG7" s="359"/>
      <c r="AH7" s="246"/>
      <c r="AI7" s="141"/>
      <c r="AJ7" s="141"/>
    </row>
    <row r="8" spans="1:36" ht="17.100000000000001" customHeight="1" x14ac:dyDescent="0.25">
      <c r="A8" s="268">
        <v>4</v>
      </c>
      <c r="B8" s="269"/>
      <c r="C8" s="324"/>
      <c r="D8" s="324"/>
      <c r="E8" s="324"/>
      <c r="F8" s="324"/>
      <c r="G8" s="324"/>
      <c r="H8" s="324"/>
      <c r="I8" s="325"/>
      <c r="J8" s="348"/>
      <c r="K8" s="349"/>
      <c r="L8" s="259"/>
      <c r="M8" s="5">
        <v>4</v>
      </c>
      <c r="N8" s="2"/>
      <c r="O8" s="2"/>
      <c r="P8" s="2"/>
      <c r="Q8" s="2"/>
      <c r="R8" s="2"/>
      <c r="S8" s="2"/>
      <c r="T8" s="24"/>
      <c r="U8" s="358"/>
      <c r="V8" s="359"/>
      <c r="W8" s="247"/>
      <c r="X8" s="5">
        <v>4</v>
      </c>
      <c r="Y8" s="2"/>
      <c r="Z8" s="2"/>
      <c r="AA8" s="2"/>
      <c r="AB8" s="2"/>
      <c r="AC8" s="2"/>
      <c r="AD8" s="2"/>
      <c r="AE8" s="24"/>
      <c r="AF8" s="358"/>
      <c r="AG8" s="359"/>
      <c r="AH8" s="246"/>
      <c r="AI8" s="141"/>
      <c r="AJ8" s="141"/>
    </row>
    <row r="9" spans="1:36" ht="17.100000000000001" customHeight="1" thickBot="1" x14ac:dyDescent="0.3">
      <c r="A9" s="264">
        <v>5</v>
      </c>
      <c r="B9" s="265"/>
      <c r="C9" s="326"/>
      <c r="D9" s="326"/>
      <c r="E9" s="326"/>
      <c r="F9" s="326"/>
      <c r="G9" s="326"/>
      <c r="H9" s="326"/>
      <c r="I9" s="327"/>
      <c r="J9" s="350"/>
      <c r="K9" s="351"/>
      <c r="L9" s="259"/>
      <c r="M9" s="13">
        <v>5</v>
      </c>
      <c r="N9" s="14"/>
      <c r="O9" s="14"/>
      <c r="P9" s="14"/>
      <c r="Q9" s="14"/>
      <c r="R9" s="14"/>
      <c r="S9" s="14"/>
      <c r="T9" s="25"/>
      <c r="U9" s="360"/>
      <c r="V9" s="361"/>
      <c r="W9" s="247"/>
      <c r="X9" s="5">
        <v>5</v>
      </c>
      <c r="Y9" s="14"/>
      <c r="Z9" s="14"/>
      <c r="AA9" s="14"/>
      <c r="AB9" s="14"/>
      <c r="AC9" s="14"/>
      <c r="AD9" s="14"/>
      <c r="AE9" s="25"/>
      <c r="AF9" s="360"/>
      <c r="AG9" s="361"/>
      <c r="AH9" s="246"/>
      <c r="AI9" s="141"/>
      <c r="AJ9" s="141"/>
    </row>
    <row r="10" spans="1:36" ht="17.100000000000001" customHeight="1" x14ac:dyDescent="0.25">
      <c r="A10" s="262">
        <v>6</v>
      </c>
      <c r="B10" s="263"/>
      <c r="C10" s="328"/>
      <c r="D10" s="328"/>
      <c r="E10" s="328"/>
      <c r="F10" s="328"/>
      <c r="G10" s="328"/>
      <c r="H10" s="328"/>
      <c r="I10" s="329"/>
      <c r="J10" s="352"/>
      <c r="K10" s="353"/>
      <c r="L10" s="259"/>
      <c r="M10" s="11">
        <v>6</v>
      </c>
      <c r="N10" s="12"/>
      <c r="O10" s="12"/>
      <c r="P10" s="12"/>
      <c r="Q10" s="12"/>
      <c r="R10" s="12"/>
      <c r="S10" s="12"/>
      <c r="T10" s="26"/>
      <c r="U10" s="362"/>
      <c r="V10" s="363"/>
      <c r="W10" s="247"/>
      <c r="X10" s="5">
        <v>6</v>
      </c>
      <c r="Y10" s="12"/>
      <c r="Z10" s="12"/>
      <c r="AA10" s="12"/>
      <c r="AB10" s="12"/>
      <c r="AC10" s="12"/>
      <c r="AD10" s="12"/>
      <c r="AE10" s="26"/>
      <c r="AF10" s="362"/>
      <c r="AG10" s="363"/>
      <c r="AH10" s="246"/>
      <c r="AI10" s="141"/>
      <c r="AJ10" s="141"/>
    </row>
    <row r="11" spans="1:36" ht="17.100000000000001" customHeight="1" thickBot="1" x14ac:dyDescent="0.3">
      <c r="A11" s="264">
        <v>7</v>
      </c>
      <c r="B11" s="265"/>
      <c r="C11" s="330"/>
      <c r="D11" s="330"/>
      <c r="E11" s="330"/>
      <c r="F11" s="330"/>
      <c r="G11" s="330"/>
      <c r="H11" s="330"/>
      <c r="I11" s="331"/>
      <c r="J11" s="354"/>
      <c r="K11" s="355"/>
      <c r="L11" s="259"/>
      <c r="M11" s="47">
        <v>7</v>
      </c>
      <c r="N11" s="21"/>
      <c r="O11" s="21"/>
      <c r="P11" s="21"/>
      <c r="Q11" s="21"/>
      <c r="R11" s="21"/>
      <c r="S11" s="21"/>
      <c r="T11" s="35"/>
      <c r="U11" s="364"/>
      <c r="V11" s="365"/>
      <c r="W11" s="247"/>
      <c r="X11" s="5">
        <v>7</v>
      </c>
      <c r="Y11" s="21"/>
      <c r="Z11" s="21"/>
      <c r="AA11" s="21"/>
      <c r="AB11" s="21"/>
      <c r="AC11" s="21"/>
      <c r="AD11" s="21"/>
      <c r="AE11" s="35"/>
      <c r="AF11" s="364"/>
      <c r="AG11" s="365"/>
      <c r="AH11" s="246"/>
      <c r="AI11" s="141"/>
      <c r="AJ11" s="141"/>
    </row>
    <row r="12" spans="1:36" s="1" customFormat="1" ht="20.100000000000001" customHeight="1" thickBot="1" x14ac:dyDescent="0.3">
      <c r="A12" s="140"/>
      <c r="B12" s="140"/>
      <c r="C12" s="147">
        <f t="shared" ref="C12:K12" si="0">SUM(C5:C11)</f>
        <v>0</v>
      </c>
      <c r="D12" s="148">
        <f t="shared" si="0"/>
        <v>0</v>
      </c>
      <c r="E12" s="148">
        <f t="shared" si="0"/>
        <v>0</v>
      </c>
      <c r="F12" s="148">
        <f t="shared" si="0"/>
        <v>0</v>
      </c>
      <c r="G12" s="148">
        <f t="shared" si="0"/>
        <v>0</v>
      </c>
      <c r="H12" s="148">
        <f t="shared" si="0"/>
        <v>0</v>
      </c>
      <c r="I12" s="149">
        <f t="shared" si="0"/>
        <v>0</v>
      </c>
      <c r="J12" s="150">
        <f t="shared" si="0"/>
        <v>0</v>
      </c>
      <c r="K12" s="151">
        <f t="shared" si="0"/>
        <v>0</v>
      </c>
      <c r="L12" s="259"/>
      <c r="M12" s="140"/>
      <c r="N12" s="147">
        <f t="shared" ref="N12:V12" si="1">SUM(N5:N11)</f>
        <v>2</v>
      </c>
      <c r="O12" s="148">
        <f t="shared" si="1"/>
        <v>3</v>
      </c>
      <c r="P12" s="148">
        <f t="shared" si="1"/>
        <v>4</v>
      </c>
      <c r="Q12" s="148">
        <f t="shared" si="1"/>
        <v>5</v>
      </c>
      <c r="R12" s="148">
        <f t="shared" si="1"/>
        <v>6</v>
      </c>
      <c r="S12" s="148">
        <f t="shared" si="1"/>
        <v>78</v>
      </c>
      <c r="T12" s="149">
        <f t="shared" si="1"/>
        <v>9</v>
      </c>
      <c r="U12" s="150">
        <f t="shared" si="1"/>
        <v>0</v>
      </c>
      <c r="V12" s="151">
        <f t="shared" si="1"/>
        <v>0</v>
      </c>
      <c r="W12" s="247"/>
      <c r="X12" s="140"/>
      <c r="Y12" s="147">
        <f t="shared" ref="Y12:AG12" si="2">SUM(Y5:Y11)</f>
        <v>100</v>
      </c>
      <c r="Z12" s="148">
        <f t="shared" si="2"/>
        <v>0</v>
      </c>
      <c r="AA12" s="148">
        <f t="shared" si="2"/>
        <v>0</v>
      </c>
      <c r="AB12" s="148">
        <f t="shared" si="2"/>
        <v>0</v>
      </c>
      <c r="AC12" s="148">
        <f t="shared" si="2"/>
        <v>0</v>
      </c>
      <c r="AD12" s="148">
        <f t="shared" si="2"/>
        <v>0</v>
      </c>
      <c r="AE12" s="149">
        <f t="shared" si="2"/>
        <v>0</v>
      </c>
      <c r="AF12" s="150">
        <f t="shared" si="2"/>
        <v>0</v>
      </c>
      <c r="AG12" s="151">
        <f t="shared" si="2"/>
        <v>0</v>
      </c>
      <c r="AH12" s="246"/>
      <c r="AI12" s="142"/>
      <c r="AJ12" s="142"/>
    </row>
    <row r="13" spans="1:36" s="10" customFormat="1" ht="20.100000000000001" customHeight="1" x14ac:dyDescent="0.25">
      <c r="A13" s="146"/>
      <c r="B13" s="145"/>
      <c r="C13" s="152">
        <f t="shared" ref="C13:K13" si="3">COUNTA(C5:C11)</f>
        <v>0</v>
      </c>
      <c r="D13" s="153">
        <f t="shared" si="3"/>
        <v>0</v>
      </c>
      <c r="E13" s="153">
        <f t="shared" si="3"/>
        <v>0</v>
      </c>
      <c r="F13" s="153">
        <f t="shared" si="3"/>
        <v>0</v>
      </c>
      <c r="G13" s="153">
        <f t="shared" si="3"/>
        <v>0</v>
      </c>
      <c r="H13" s="153">
        <f t="shared" si="3"/>
        <v>0</v>
      </c>
      <c r="I13" s="154">
        <f t="shared" si="3"/>
        <v>0</v>
      </c>
      <c r="J13" s="155">
        <f t="shared" si="3"/>
        <v>0</v>
      </c>
      <c r="K13" s="156">
        <f t="shared" si="3"/>
        <v>0</v>
      </c>
      <c r="L13" s="259"/>
      <c r="M13" s="157"/>
      <c r="N13" s="152">
        <f t="shared" ref="N13:V13" si="4">COUNTA(N5:N11)</f>
        <v>1</v>
      </c>
      <c r="O13" s="153">
        <f t="shared" si="4"/>
        <v>1</v>
      </c>
      <c r="P13" s="153">
        <f t="shared" si="4"/>
        <v>1</v>
      </c>
      <c r="Q13" s="153">
        <f t="shared" si="4"/>
        <v>1</v>
      </c>
      <c r="R13" s="153">
        <f t="shared" si="4"/>
        <v>1</v>
      </c>
      <c r="S13" s="153">
        <f t="shared" si="4"/>
        <v>1</v>
      </c>
      <c r="T13" s="154">
        <f t="shared" si="4"/>
        <v>1</v>
      </c>
      <c r="U13" s="155">
        <f t="shared" si="4"/>
        <v>0</v>
      </c>
      <c r="V13" s="156">
        <f t="shared" si="4"/>
        <v>0</v>
      </c>
      <c r="W13" s="9"/>
      <c r="X13" s="157"/>
      <c r="Y13" s="152">
        <f t="shared" ref="Y13:AG13" si="5">COUNTA(Y5:Y11)</f>
        <v>1</v>
      </c>
      <c r="Z13" s="153">
        <f t="shared" si="5"/>
        <v>0</v>
      </c>
      <c r="AA13" s="153">
        <f t="shared" si="5"/>
        <v>0</v>
      </c>
      <c r="AB13" s="153">
        <f t="shared" si="5"/>
        <v>0</v>
      </c>
      <c r="AC13" s="153">
        <f t="shared" si="5"/>
        <v>0</v>
      </c>
      <c r="AD13" s="153">
        <f t="shared" si="5"/>
        <v>0</v>
      </c>
      <c r="AE13" s="154">
        <f t="shared" si="5"/>
        <v>0</v>
      </c>
      <c r="AF13" s="155">
        <f t="shared" si="5"/>
        <v>0</v>
      </c>
      <c r="AG13" s="156">
        <f t="shared" si="5"/>
        <v>0</v>
      </c>
      <c r="AH13" s="246"/>
      <c r="AI13" s="143"/>
      <c r="AJ13" s="143"/>
    </row>
    <row r="14" spans="1:36" ht="5.0999999999999996" customHeight="1" x14ac:dyDescent="0.25">
      <c r="L14" s="259"/>
      <c r="AI14" s="141"/>
      <c r="AJ14" s="141"/>
    </row>
    <row r="15" spans="1:36" ht="15" customHeight="1" x14ac:dyDescent="0.25">
      <c r="A15" s="341" t="s">
        <v>14</v>
      </c>
      <c r="B15" s="341"/>
      <c r="C15" s="341"/>
      <c r="D15" s="341"/>
      <c r="E15" s="341"/>
      <c r="F15" s="341"/>
      <c r="G15" s="341"/>
      <c r="H15" s="341"/>
      <c r="I15" s="341"/>
      <c r="J15" s="341"/>
      <c r="K15" s="341"/>
      <c r="L15" s="259"/>
      <c r="M15" s="344" t="s">
        <v>60</v>
      </c>
      <c r="N15" s="344"/>
      <c r="O15" s="344"/>
      <c r="P15" s="344"/>
      <c r="Q15" s="344"/>
      <c r="R15" s="344"/>
      <c r="S15" s="344"/>
      <c r="T15" s="344"/>
      <c r="U15" s="344"/>
      <c r="V15" s="344"/>
      <c r="X15" s="344" t="s">
        <v>36</v>
      </c>
      <c r="Y15" s="344"/>
      <c r="Z15" s="344"/>
      <c r="AA15" s="344"/>
      <c r="AB15" s="344"/>
      <c r="AC15" s="344"/>
      <c r="AD15" s="344"/>
      <c r="AE15" s="344"/>
      <c r="AF15" s="344"/>
      <c r="AG15" s="344"/>
      <c r="AI15" s="141"/>
      <c r="AJ15" s="141"/>
    </row>
    <row r="16" spans="1:36" ht="20.100000000000001" customHeight="1" thickBot="1" x14ac:dyDescent="0.3">
      <c r="A16" s="332" t="s">
        <v>39</v>
      </c>
      <c r="B16" s="333"/>
      <c r="C16" s="334">
        <v>200</v>
      </c>
      <c r="D16" s="335">
        <v>200</v>
      </c>
      <c r="E16" s="336">
        <v>200</v>
      </c>
      <c r="F16" s="336">
        <v>200</v>
      </c>
      <c r="G16" s="336">
        <v>200</v>
      </c>
      <c r="H16" s="336">
        <v>200</v>
      </c>
      <c r="I16" s="336">
        <v>200</v>
      </c>
      <c r="J16" s="336">
        <v>200</v>
      </c>
      <c r="K16" s="336">
        <v>200</v>
      </c>
      <c r="L16" s="259"/>
      <c r="M16" s="345"/>
      <c r="N16" s="345"/>
      <c r="O16" s="345"/>
      <c r="P16" s="345"/>
      <c r="Q16" s="345"/>
      <c r="R16" s="345"/>
      <c r="S16" s="345"/>
      <c r="T16" s="345"/>
      <c r="U16" s="345"/>
      <c r="V16" s="345"/>
      <c r="X16" s="345"/>
      <c r="Y16" s="345"/>
      <c r="Z16" s="345"/>
      <c r="AA16" s="345"/>
      <c r="AB16" s="345"/>
      <c r="AC16" s="345"/>
      <c r="AD16" s="345"/>
      <c r="AE16" s="345"/>
      <c r="AF16" s="345"/>
      <c r="AG16" s="345"/>
      <c r="AI16" s="141"/>
      <c r="AJ16" s="141"/>
    </row>
    <row r="17" spans="1:36" ht="23.25" thickBot="1" x14ac:dyDescent="0.3">
      <c r="A17" s="136"/>
      <c r="B17" s="135" t="s">
        <v>12</v>
      </c>
      <c r="C17" s="53" t="s">
        <v>7</v>
      </c>
      <c r="D17" s="54" t="s">
        <v>8</v>
      </c>
      <c r="E17" s="54" t="s">
        <v>2</v>
      </c>
      <c r="F17" s="54" t="s">
        <v>38</v>
      </c>
      <c r="G17" s="54" t="s">
        <v>4</v>
      </c>
      <c r="H17" s="54" t="s">
        <v>5</v>
      </c>
      <c r="I17" s="54" t="s">
        <v>9</v>
      </c>
      <c r="J17" s="54" t="s">
        <v>10</v>
      </c>
      <c r="K17" s="54" t="s">
        <v>11</v>
      </c>
      <c r="L17" s="259"/>
      <c r="M17" s="19" t="s">
        <v>12</v>
      </c>
      <c r="N17" s="342" t="s">
        <v>7</v>
      </c>
      <c r="O17" s="343" t="s">
        <v>8</v>
      </c>
      <c r="P17" s="343" t="s">
        <v>2</v>
      </c>
      <c r="Q17" s="343" t="s">
        <v>3</v>
      </c>
      <c r="R17" s="343" t="s">
        <v>4</v>
      </c>
      <c r="S17" s="343" t="s">
        <v>5</v>
      </c>
      <c r="T17" s="343" t="s">
        <v>9</v>
      </c>
      <c r="U17" s="343" t="s">
        <v>10</v>
      </c>
      <c r="V17" s="343" t="s">
        <v>11</v>
      </c>
      <c r="X17" s="19" t="s">
        <v>12</v>
      </c>
      <c r="Y17" s="342" t="s">
        <v>7</v>
      </c>
      <c r="Z17" s="343" t="s">
        <v>8</v>
      </c>
      <c r="AA17" s="343" t="s">
        <v>2</v>
      </c>
      <c r="AB17" s="343" t="s">
        <v>3</v>
      </c>
      <c r="AC17" s="343" t="s">
        <v>4</v>
      </c>
      <c r="AD17" s="343" t="s">
        <v>5</v>
      </c>
      <c r="AE17" s="343" t="s">
        <v>9</v>
      </c>
      <c r="AF17" s="343" t="s">
        <v>10</v>
      </c>
      <c r="AG17" s="343" t="s">
        <v>11</v>
      </c>
      <c r="AI17" s="144" t="s">
        <v>0</v>
      </c>
      <c r="AJ17" s="141"/>
    </row>
    <row r="18" spans="1:36" ht="17.100000000000001" customHeight="1" x14ac:dyDescent="0.25">
      <c r="A18" s="251">
        <v>1</v>
      </c>
      <c r="B18" s="252"/>
      <c r="C18" s="206">
        <f>(IF(C16="",C16,C16+C5)-(N5+Y5))</f>
        <v>98</v>
      </c>
      <c r="D18" s="206">
        <f t="shared" ref="D18:K18" si="6">(IF(D16="",D16,D16+D5)-(O5+Z5))</f>
        <v>197</v>
      </c>
      <c r="E18" s="206">
        <f t="shared" si="6"/>
        <v>196</v>
      </c>
      <c r="F18" s="206">
        <f t="shared" si="6"/>
        <v>195</v>
      </c>
      <c r="G18" s="206">
        <f t="shared" si="6"/>
        <v>194</v>
      </c>
      <c r="H18" s="206">
        <f t="shared" si="6"/>
        <v>122</v>
      </c>
      <c r="I18" s="206">
        <f t="shared" si="6"/>
        <v>191</v>
      </c>
      <c r="J18" s="206">
        <f t="shared" si="6"/>
        <v>200</v>
      </c>
      <c r="K18" s="206">
        <f t="shared" si="6"/>
        <v>200</v>
      </c>
      <c r="L18" s="259"/>
      <c r="M18" s="201">
        <v>1</v>
      </c>
      <c r="N18" s="56">
        <v>90</v>
      </c>
      <c r="O18" s="56"/>
      <c r="P18" s="366"/>
      <c r="Q18" s="56"/>
      <c r="R18" s="56"/>
      <c r="S18" s="56"/>
      <c r="T18" s="56"/>
      <c r="U18" s="56"/>
      <c r="V18" s="56"/>
      <c r="X18" s="201">
        <v>1</v>
      </c>
      <c r="Y18" s="46">
        <f>C18-N18</f>
        <v>8</v>
      </c>
      <c r="Z18" s="46">
        <f t="shared" ref="Z18:AG18" si="7">D18-O18</f>
        <v>197</v>
      </c>
      <c r="AA18" s="46">
        <f t="shared" si="7"/>
        <v>196</v>
      </c>
      <c r="AB18" s="46">
        <f t="shared" si="7"/>
        <v>195</v>
      </c>
      <c r="AC18" s="46">
        <f t="shared" si="7"/>
        <v>194</v>
      </c>
      <c r="AD18" s="46">
        <f t="shared" si="7"/>
        <v>122</v>
      </c>
      <c r="AE18" s="46">
        <f t="shared" si="7"/>
        <v>191</v>
      </c>
      <c r="AF18" s="46">
        <f t="shared" si="7"/>
        <v>200</v>
      </c>
      <c r="AG18" s="46">
        <f t="shared" si="7"/>
        <v>200</v>
      </c>
      <c r="AI18" s="141"/>
      <c r="AJ18" s="141"/>
    </row>
    <row r="19" spans="1:36" ht="17.100000000000001" customHeight="1" x14ac:dyDescent="0.25">
      <c r="A19" s="255">
        <v>2</v>
      </c>
      <c r="B19" s="256"/>
      <c r="C19" s="207">
        <f>(C18+C6)-(N6+Y6)</f>
        <v>98</v>
      </c>
      <c r="D19" s="207">
        <f t="shared" ref="D19:K19" si="8">(D18+D6)-(O6+Z6)</f>
        <v>197</v>
      </c>
      <c r="E19" s="207">
        <f t="shared" si="8"/>
        <v>196</v>
      </c>
      <c r="F19" s="207">
        <f t="shared" si="8"/>
        <v>195</v>
      </c>
      <c r="G19" s="207">
        <f t="shared" si="8"/>
        <v>194</v>
      </c>
      <c r="H19" s="207">
        <f t="shared" si="8"/>
        <v>122</v>
      </c>
      <c r="I19" s="207">
        <f t="shared" si="8"/>
        <v>191</v>
      </c>
      <c r="J19" s="207">
        <f t="shared" si="8"/>
        <v>200</v>
      </c>
      <c r="K19" s="207">
        <f t="shared" si="8"/>
        <v>200</v>
      </c>
      <c r="L19" s="259"/>
      <c r="M19" s="202">
        <v>2</v>
      </c>
      <c r="N19" s="57"/>
      <c r="O19" s="57"/>
      <c r="P19" s="57"/>
      <c r="Q19" s="57"/>
      <c r="R19" s="57"/>
      <c r="S19" s="57"/>
      <c r="T19" s="57"/>
      <c r="U19" s="57"/>
      <c r="V19" s="57"/>
      <c r="X19" s="202">
        <v>2</v>
      </c>
      <c r="Y19" s="4">
        <f t="shared" ref="Y19:Y24" si="9">C19-N19</f>
        <v>98</v>
      </c>
      <c r="Z19" s="4">
        <f t="shared" ref="Z19:Z24" si="10">D19-O19</f>
        <v>197</v>
      </c>
      <c r="AA19" s="4">
        <f t="shared" ref="AA19:AA24" si="11">E19-P19</f>
        <v>196</v>
      </c>
      <c r="AB19" s="4">
        <f t="shared" ref="AB19:AB24" si="12">F19-Q19</f>
        <v>195</v>
      </c>
      <c r="AC19" s="4">
        <f t="shared" ref="AC19:AC24" si="13">G19-R19</f>
        <v>194</v>
      </c>
      <c r="AD19" s="4">
        <f t="shared" ref="AD19:AD24" si="14">H19-S19</f>
        <v>122</v>
      </c>
      <c r="AE19" s="4">
        <f t="shared" ref="AE19:AE24" si="15">I19-T19</f>
        <v>191</v>
      </c>
      <c r="AF19" s="4">
        <f t="shared" ref="AF19:AF24" si="16">J19-U19</f>
        <v>200</v>
      </c>
      <c r="AG19" s="4">
        <f t="shared" ref="AG19:AG24" si="17">K19-V19</f>
        <v>200</v>
      </c>
      <c r="AI19" s="141"/>
      <c r="AJ19" s="141"/>
    </row>
    <row r="20" spans="1:36" ht="17.100000000000001" customHeight="1" x14ac:dyDescent="0.25">
      <c r="A20" s="255">
        <v>3</v>
      </c>
      <c r="B20" s="256"/>
      <c r="C20" s="207">
        <f t="shared" ref="C20:C24" si="18">(C19+C7)-(N7+Y7)</f>
        <v>98</v>
      </c>
      <c r="D20" s="207">
        <f t="shared" ref="D20:D24" si="19">(D19+D7)-(O7+Z7)</f>
        <v>197</v>
      </c>
      <c r="E20" s="207">
        <f t="shared" ref="E20:E24" si="20">(E19+E7)-(P7+AA7)</f>
        <v>196</v>
      </c>
      <c r="F20" s="207">
        <f t="shared" ref="F20:F24" si="21">(F19+F7)-(Q7+AB7)</f>
        <v>195</v>
      </c>
      <c r="G20" s="207">
        <f t="shared" ref="G20:G24" si="22">(G19+G7)-(R7+AC7)</f>
        <v>194</v>
      </c>
      <c r="H20" s="207">
        <f t="shared" ref="H20:H24" si="23">(H19+H7)-(S7+AD7)</f>
        <v>122</v>
      </c>
      <c r="I20" s="207">
        <f t="shared" ref="I20:I24" si="24">(I19+I7)-(T7+AE7)</f>
        <v>191</v>
      </c>
      <c r="J20" s="207">
        <f t="shared" ref="J20:J24" si="25">(J19+J7)-(U7+AF7)</f>
        <v>200</v>
      </c>
      <c r="K20" s="207">
        <f t="shared" ref="K20:K24" si="26">(K19+K7)-(V7+AG7)</f>
        <v>200</v>
      </c>
      <c r="L20" s="259"/>
      <c r="M20" s="202">
        <v>3</v>
      </c>
      <c r="N20" s="57"/>
      <c r="O20" s="57"/>
      <c r="P20" s="57"/>
      <c r="Q20" s="57"/>
      <c r="R20" s="57"/>
      <c r="S20" s="57"/>
      <c r="T20" s="57"/>
      <c r="U20" s="57"/>
      <c r="V20" s="57"/>
      <c r="X20" s="202">
        <v>3</v>
      </c>
      <c r="Y20" s="4">
        <f t="shared" si="9"/>
        <v>98</v>
      </c>
      <c r="Z20" s="4">
        <f t="shared" si="10"/>
        <v>197</v>
      </c>
      <c r="AA20" s="4">
        <f t="shared" si="11"/>
        <v>196</v>
      </c>
      <c r="AB20" s="4">
        <f t="shared" si="12"/>
        <v>195</v>
      </c>
      <c r="AC20" s="4">
        <f t="shared" si="13"/>
        <v>194</v>
      </c>
      <c r="AD20" s="4">
        <f t="shared" si="14"/>
        <v>122</v>
      </c>
      <c r="AE20" s="4">
        <f t="shared" si="15"/>
        <v>191</v>
      </c>
      <c r="AF20" s="4">
        <f t="shared" si="16"/>
        <v>200</v>
      </c>
      <c r="AG20" s="4">
        <f t="shared" si="17"/>
        <v>200</v>
      </c>
      <c r="AI20" s="141"/>
      <c r="AJ20" s="141"/>
    </row>
    <row r="21" spans="1:36" ht="17.100000000000001" customHeight="1" x14ac:dyDescent="0.25">
      <c r="A21" s="255">
        <v>4</v>
      </c>
      <c r="B21" s="256"/>
      <c r="C21" s="207">
        <f t="shared" si="18"/>
        <v>98</v>
      </c>
      <c r="D21" s="207">
        <f t="shared" si="19"/>
        <v>197</v>
      </c>
      <c r="E21" s="207">
        <f t="shared" si="20"/>
        <v>196</v>
      </c>
      <c r="F21" s="207">
        <f t="shared" si="21"/>
        <v>195</v>
      </c>
      <c r="G21" s="207">
        <f t="shared" si="22"/>
        <v>194</v>
      </c>
      <c r="H21" s="207">
        <f t="shared" si="23"/>
        <v>122</v>
      </c>
      <c r="I21" s="207">
        <f t="shared" si="24"/>
        <v>191</v>
      </c>
      <c r="J21" s="207">
        <f t="shared" si="25"/>
        <v>200</v>
      </c>
      <c r="K21" s="207">
        <f t="shared" si="26"/>
        <v>200</v>
      </c>
      <c r="L21" s="259"/>
      <c r="M21" s="202">
        <v>4</v>
      </c>
      <c r="N21" s="57"/>
      <c r="O21" s="57"/>
      <c r="P21" s="57"/>
      <c r="Q21" s="57"/>
      <c r="R21" s="57"/>
      <c r="S21" s="57"/>
      <c r="T21" s="57"/>
      <c r="U21" s="57"/>
      <c r="V21" s="57"/>
      <c r="X21" s="202">
        <v>4</v>
      </c>
      <c r="Y21" s="4">
        <f t="shared" si="9"/>
        <v>98</v>
      </c>
      <c r="Z21" s="4">
        <f t="shared" si="10"/>
        <v>197</v>
      </c>
      <c r="AA21" s="4">
        <f t="shared" si="11"/>
        <v>196</v>
      </c>
      <c r="AB21" s="4">
        <f t="shared" si="12"/>
        <v>195</v>
      </c>
      <c r="AC21" s="4">
        <f t="shared" si="13"/>
        <v>194</v>
      </c>
      <c r="AD21" s="4">
        <f t="shared" si="14"/>
        <v>122</v>
      </c>
      <c r="AE21" s="4">
        <f t="shared" si="15"/>
        <v>191</v>
      </c>
      <c r="AF21" s="4">
        <f t="shared" si="16"/>
        <v>200</v>
      </c>
      <c r="AG21" s="4">
        <f t="shared" si="17"/>
        <v>200</v>
      </c>
      <c r="AI21" s="141"/>
      <c r="AJ21" s="141"/>
    </row>
    <row r="22" spans="1:36" ht="17.100000000000001" customHeight="1" thickBot="1" x14ac:dyDescent="0.3">
      <c r="A22" s="253">
        <v>5</v>
      </c>
      <c r="B22" s="254"/>
      <c r="C22" s="208">
        <f t="shared" si="18"/>
        <v>98</v>
      </c>
      <c r="D22" s="208">
        <f t="shared" si="19"/>
        <v>197</v>
      </c>
      <c r="E22" s="208">
        <f t="shared" si="20"/>
        <v>196</v>
      </c>
      <c r="F22" s="208">
        <f t="shared" si="21"/>
        <v>195</v>
      </c>
      <c r="G22" s="208">
        <f t="shared" si="22"/>
        <v>194</v>
      </c>
      <c r="H22" s="208">
        <f t="shared" si="23"/>
        <v>122</v>
      </c>
      <c r="I22" s="208">
        <f t="shared" si="24"/>
        <v>191</v>
      </c>
      <c r="J22" s="208">
        <f t="shared" si="25"/>
        <v>200</v>
      </c>
      <c r="K22" s="208">
        <f t="shared" si="26"/>
        <v>200</v>
      </c>
      <c r="L22" s="259"/>
      <c r="M22" s="203">
        <v>5</v>
      </c>
      <c r="N22" s="58"/>
      <c r="O22" s="58"/>
      <c r="P22" s="58"/>
      <c r="Q22" s="58"/>
      <c r="R22" s="58"/>
      <c r="S22" s="58"/>
      <c r="T22" s="58"/>
      <c r="U22" s="58"/>
      <c r="V22" s="58"/>
      <c r="X22" s="203">
        <v>5</v>
      </c>
      <c r="Y22" s="4">
        <f t="shared" si="9"/>
        <v>98</v>
      </c>
      <c r="Z22" s="4">
        <f t="shared" si="10"/>
        <v>197</v>
      </c>
      <c r="AA22" s="4">
        <f t="shared" si="11"/>
        <v>196</v>
      </c>
      <c r="AB22" s="4">
        <f t="shared" si="12"/>
        <v>195</v>
      </c>
      <c r="AC22" s="4">
        <f t="shared" si="13"/>
        <v>194</v>
      </c>
      <c r="AD22" s="4">
        <f t="shared" si="14"/>
        <v>122</v>
      </c>
      <c r="AE22" s="4">
        <f t="shared" si="15"/>
        <v>191</v>
      </c>
      <c r="AF22" s="4">
        <f t="shared" si="16"/>
        <v>200</v>
      </c>
      <c r="AG22" s="4">
        <f t="shared" si="17"/>
        <v>200</v>
      </c>
      <c r="AI22" s="141"/>
      <c r="AJ22" s="141"/>
    </row>
    <row r="23" spans="1:36" ht="17.100000000000001" customHeight="1" x14ac:dyDescent="0.25">
      <c r="A23" s="251">
        <v>6</v>
      </c>
      <c r="B23" s="252"/>
      <c r="C23" s="209">
        <f t="shared" si="18"/>
        <v>98</v>
      </c>
      <c r="D23" s="209">
        <f t="shared" si="19"/>
        <v>197</v>
      </c>
      <c r="E23" s="209">
        <f t="shared" si="20"/>
        <v>196</v>
      </c>
      <c r="F23" s="209">
        <f t="shared" si="21"/>
        <v>195</v>
      </c>
      <c r="G23" s="209">
        <f t="shared" si="22"/>
        <v>194</v>
      </c>
      <c r="H23" s="209">
        <f t="shared" si="23"/>
        <v>122</v>
      </c>
      <c r="I23" s="209">
        <f t="shared" si="24"/>
        <v>191</v>
      </c>
      <c r="J23" s="209">
        <f t="shared" si="25"/>
        <v>200</v>
      </c>
      <c r="K23" s="209">
        <f t="shared" si="26"/>
        <v>200</v>
      </c>
      <c r="L23" s="259"/>
      <c r="M23" s="201">
        <v>6</v>
      </c>
      <c r="N23" s="59"/>
      <c r="O23" s="59"/>
      <c r="P23" s="59"/>
      <c r="Q23" s="59"/>
      <c r="R23" s="59"/>
      <c r="S23" s="59"/>
      <c r="T23" s="59"/>
      <c r="U23" s="59"/>
      <c r="V23" s="59"/>
      <c r="X23" s="201">
        <v>6</v>
      </c>
      <c r="Y23" s="4">
        <f t="shared" si="9"/>
        <v>98</v>
      </c>
      <c r="Z23" s="4">
        <f t="shared" si="10"/>
        <v>197</v>
      </c>
      <c r="AA23" s="4">
        <f t="shared" si="11"/>
        <v>196</v>
      </c>
      <c r="AB23" s="4">
        <f t="shared" si="12"/>
        <v>195</v>
      </c>
      <c r="AC23" s="4">
        <f t="shared" si="13"/>
        <v>194</v>
      </c>
      <c r="AD23" s="4">
        <f t="shared" si="14"/>
        <v>122</v>
      </c>
      <c r="AE23" s="4">
        <f t="shared" si="15"/>
        <v>191</v>
      </c>
      <c r="AF23" s="4">
        <f t="shared" si="16"/>
        <v>200</v>
      </c>
      <c r="AG23" s="4">
        <f t="shared" si="17"/>
        <v>200</v>
      </c>
      <c r="AI23" s="141"/>
      <c r="AJ23" s="141"/>
    </row>
    <row r="24" spans="1:36" ht="17.100000000000001" customHeight="1" thickBot="1" x14ac:dyDescent="0.3">
      <c r="A24" s="253">
        <v>7</v>
      </c>
      <c r="B24" s="254"/>
      <c r="C24" s="208">
        <f t="shared" si="18"/>
        <v>98</v>
      </c>
      <c r="D24" s="208">
        <f t="shared" si="19"/>
        <v>197</v>
      </c>
      <c r="E24" s="208">
        <f t="shared" si="20"/>
        <v>196</v>
      </c>
      <c r="F24" s="208">
        <f t="shared" si="21"/>
        <v>195</v>
      </c>
      <c r="G24" s="208">
        <f t="shared" si="22"/>
        <v>194</v>
      </c>
      <c r="H24" s="208">
        <f t="shared" si="23"/>
        <v>122</v>
      </c>
      <c r="I24" s="208">
        <f t="shared" si="24"/>
        <v>191</v>
      </c>
      <c r="J24" s="208">
        <f t="shared" si="25"/>
        <v>200</v>
      </c>
      <c r="K24" s="208">
        <f t="shared" si="26"/>
        <v>200</v>
      </c>
      <c r="L24" s="259"/>
      <c r="M24" s="204">
        <v>7</v>
      </c>
      <c r="N24" s="58"/>
      <c r="O24" s="58"/>
      <c r="P24" s="58"/>
      <c r="Q24" s="58"/>
      <c r="R24" s="58"/>
      <c r="S24" s="58"/>
      <c r="T24" s="58"/>
      <c r="U24" s="58"/>
      <c r="V24" s="58"/>
      <c r="X24" s="204">
        <v>7</v>
      </c>
      <c r="Y24" s="15">
        <f t="shared" si="9"/>
        <v>98</v>
      </c>
      <c r="Z24" s="15">
        <f t="shared" si="10"/>
        <v>197</v>
      </c>
      <c r="AA24" s="15">
        <f t="shared" si="11"/>
        <v>196</v>
      </c>
      <c r="AB24" s="15">
        <f t="shared" si="12"/>
        <v>195</v>
      </c>
      <c r="AC24" s="15">
        <f t="shared" si="13"/>
        <v>194</v>
      </c>
      <c r="AD24" s="15">
        <f t="shared" si="14"/>
        <v>122</v>
      </c>
      <c r="AE24" s="15">
        <f t="shared" si="15"/>
        <v>191</v>
      </c>
      <c r="AF24" s="15">
        <f t="shared" si="16"/>
        <v>200</v>
      </c>
      <c r="AG24" s="15">
        <f t="shared" si="17"/>
        <v>200</v>
      </c>
      <c r="AI24" s="141"/>
      <c r="AJ24" s="141"/>
    </row>
    <row r="25" spans="1:36" ht="15" customHeight="1" thickBot="1" x14ac:dyDescent="0.3">
      <c r="A25" s="257" t="s">
        <v>53</v>
      </c>
      <c r="B25" s="258"/>
      <c r="C25" s="137">
        <f>C24</f>
        <v>98</v>
      </c>
      <c r="D25" s="138">
        <f t="shared" ref="D25:K25" si="27">D24</f>
        <v>197</v>
      </c>
      <c r="E25" s="138">
        <f t="shared" si="27"/>
        <v>196</v>
      </c>
      <c r="F25" s="138">
        <f t="shared" si="27"/>
        <v>195</v>
      </c>
      <c r="G25" s="138">
        <f t="shared" si="27"/>
        <v>194</v>
      </c>
      <c r="H25" s="138">
        <f t="shared" si="27"/>
        <v>122</v>
      </c>
      <c r="I25" s="138">
        <f t="shared" si="27"/>
        <v>191</v>
      </c>
      <c r="J25" s="138">
        <f t="shared" si="27"/>
        <v>200</v>
      </c>
      <c r="K25" s="139">
        <f t="shared" si="27"/>
        <v>200</v>
      </c>
      <c r="U25" s="249" t="s">
        <v>36</v>
      </c>
      <c r="V25" s="249"/>
      <c r="W25" s="249"/>
      <c r="X25" s="250"/>
      <c r="Y25" s="132">
        <f>Y24</f>
        <v>98</v>
      </c>
      <c r="Z25" s="133">
        <f t="shared" ref="Z25" si="28">Z24</f>
        <v>197</v>
      </c>
      <c r="AA25" s="133">
        <f t="shared" ref="AA25" si="29">AA24</f>
        <v>196</v>
      </c>
      <c r="AB25" s="133">
        <f t="shared" ref="AB25" si="30">AB24</f>
        <v>195</v>
      </c>
      <c r="AC25" s="133">
        <f t="shared" ref="AC25" si="31">AC24</f>
        <v>194</v>
      </c>
      <c r="AD25" s="133">
        <f t="shared" ref="AD25" si="32">AD24</f>
        <v>122</v>
      </c>
      <c r="AE25" s="133">
        <f t="shared" ref="AE25" si="33">AE24</f>
        <v>191</v>
      </c>
      <c r="AF25" s="133">
        <f t="shared" ref="AF25" si="34">AF24</f>
        <v>200</v>
      </c>
      <c r="AG25" s="134">
        <f t="shared" ref="AG25" si="35">AG24</f>
        <v>200</v>
      </c>
      <c r="AI25" s="141"/>
      <c r="AJ25" s="141"/>
    </row>
    <row r="26" spans="1:36" x14ac:dyDescent="0.25">
      <c r="AI26" s="141"/>
      <c r="AJ26" s="141"/>
    </row>
  </sheetData>
  <mergeCells count="27">
    <mergeCell ref="A5:B5"/>
    <mergeCell ref="A6:B6"/>
    <mergeCell ref="A7:B7"/>
    <mergeCell ref="A8:B8"/>
    <mergeCell ref="A9:B9"/>
    <mergeCell ref="U25:X25"/>
    <mergeCell ref="A15:K15"/>
    <mergeCell ref="A18:B18"/>
    <mergeCell ref="A22:B22"/>
    <mergeCell ref="A21:B21"/>
    <mergeCell ref="A20:B20"/>
    <mergeCell ref="A19:B19"/>
    <mergeCell ref="A24:B24"/>
    <mergeCell ref="A23:B23"/>
    <mergeCell ref="A25:B25"/>
    <mergeCell ref="A16:B16"/>
    <mergeCell ref="L2:L24"/>
    <mergeCell ref="A2:K3"/>
    <mergeCell ref="A4:B4"/>
    <mergeCell ref="A10:B10"/>
    <mergeCell ref="A11:B11"/>
    <mergeCell ref="AH3:AH13"/>
    <mergeCell ref="W2:W12"/>
    <mergeCell ref="M2:V3"/>
    <mergeCell ref="X15:AG16"/>
    <mergeCell ref="M15:V16"/>
    <mergeCell ref="X2:AG3"/>
  </mergeCells>
  <conditionalFormatting sqref="Y18:AG2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22DB-F7DD-4606-8735-40C998149B08}">
  <dimension ref="B2:U26"/>
  <sheetViews>
    <sheetView zoomScale="90" zoomScaleNormal="9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O5" sqref="O5"/>
    </sheetView>
  </sheetViews>
  <sheetFormatPr defaultRowHeight="15" x14ac:dyDescent="0.25"/>
  <cols>
    <col min="1" max="1" width="1.28515625" customWidth="1"/>
    <col min="2" max="2" width="4.140625" style="6" bestFit="1" customWidth="1"/>
    <col min="3" max="5" width="8.7109375" bestFit="1" customWidth="1"/>
    <col min="6" max="6" width="9.140625" bestFit="1" customWidth="1"/>
    <col min="7" max="9" width="8.7109375" bestFit="1" customWidth="1"/>
    <col min="10" max="10" width="8" bestFit="1" customWidth="1"/>
    <col min="11" max="11" width="8.7109375" bestFit="1" customWidth="1"/>
    <col min="12" max="12" width="9.85546875" bestFit="1" customWidth="1"/>
    <col min="13" max="13" width="10.5703125" bestFit="1" customWidth="1"/>
    <col min="16" max="16" width="11" bestFit="1" customWidth="1"/>
    <col min="17" max="17" width="9.28515625" bestFit="1" customWidth="1"/>
    <col min="18" max="18" width="11" bestFit="1" customWidth="1"/>
    <col min="19" max="19" width="14.85546875" bestFit="1" customWidth="1"/>
    <col min="20" max="21" width="11.7109375" customWidth="1"/>
  </cols>
  <sheetData>
    <row r="2" spans="2:21" ht="20.100000000000001" customHeight="1" x14ac:dyDescent="0.25">
      <c r="B2" s="234" t="s">
        <v>19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5" t="s">
        <v>42</v>
      </c>
      <c r="N2" s="236"/>
      <c r="O2" s="236"/>
      <c r="P2" s="222" t="s">
        <v>47</v>
      </c>
      <c r="Q2" s="223"/>
      <c r="R2" s="223"/>
      <c r="S2" s="223"/>
      <c r="T2" s="237" t="s">
        <v>35</v>
      </c>
      <c r="U2" s="238"/>
    </row>
    <row r="3" spans="2:21" ht="15.75" thickBot="1" x14ac:dyDescent="0.3"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173" t="s">
        <v>10</v>
      </c>
      <c r="N3" s="3" t="s">
        <v>44</v>
      </c>
      <c r="O3" s="174" t="s">
        <v>45</v>
      </c>
      <c r="P3" s="173" t="s">
        <v>10</v>
      </c>
      <c r="Q3" s="3" t="s">
        <v>20</v>
      </c>
      <c r="R3" s="216" t="s">
        <v>31</v>
      </c>
      <c r="S3" s="218" t="s">
        <v>48</v>
      </c>
      <c r="T3" s="239" t="s">
        <v>10</v>
      </c>
      <c r="U3" s="241" t="s">
        <v>41</v>
      </c>
    </row>
    <row r="4" spans="2:21" ht="24" customHeight="1" thickBot="1" x14ac:dyDescent="0.3">
      <c r="B4" s="52" t="s">
        <v>12</v>
      </c>
      <c r="C4" s="195" t="s">
        <v>17</v>
      </c>
      <c r="D4" s="195" t="s">
        <v>16</v>
      </c>
      <c r="E4" s="195" t="s">
        <v>18</v>
      </c>
      <c r="F4" s="195" t="s">
        <v>51</v>
      </c>
      <c r="G4" s="195" t="s">
        <v>54</v>
      </c>
      <c r="H4" s="195" t="s">
        <v>55</v>
      </c>
      <c r="I4" s="195" t="s">
        <v>56</v>
      </c>
      <c r="J4" s="195" t="s">
        <v>52</v>
      </c>
      <c r="K4" s="196" t="s">
        <v>52</v>
      </c>
      <c r="L4" s="197" t="s">
        <v>31</v>
      </c>
      <c r="M4" s="193" t="s">
        <v>40</v>
      </c>
      <c r="N4" s="192" t="s">
        <v>41</v>
      </c>
      <c r="O4" s="194" t="s">
        <v>43</v>
      </c>
      <c r="P4" s="193" t="s">
        <v>46</v>
      </c>
      <c r="Q4" s="192" t="s">
        <v>46</v>
      </c>
      <c r="R4" s="217"/>
      <c r="S4" s="219"/>
      <c r="T4" s="240"/>
      <c r="U4" s="219"/>
    </row>
    <row r="5" spans="2:21" ht="20.100000000000001" customHeight="1" x14ac:dyDescent="0.25">
      <c r="B5" s="48">
        <v>1</v>
      </c>
      <c r="C5" s="198">
        <v>5</v>
      </c>
      <c r="D5" s="198">
        <v>5</v>
      </c>
      <c r="E5" s="198">
        <v>5</v>
      </c>
      <c r="F5" s="198">
        <v>5</v>
      </c>
      <c r="G5" s="198">
        <v>5</v>
      </c>
      <c r="H5" s="198">
        <v>5</v>
      </c>
      <c r="I5" s="198">
        <v>5</v>
      </c>
      <c r="J5" s="198"/>
      <c r="K5" s="199"/>
      <c r="L5" s="200">
        <f>SUM(C5:K5)</f>
        <v>35</v>
      </c>
      <c r="M5" s="189">
        <v>200</v>
      </c>
      <c r="N5" s="188">
        <v>200</v>
      </c>
      <c r="O5" s="191"/>
      <c r="P5" s="210">
        <f>M5*9.3</f>
        <v>1860.0000000000002</v>
      </c>
      <c r="Q5" s="102">
        <f>N5*5</f>
        <v>1000</v>
      </c>
      <c r="R5" s="211">
        <f>SUM(P5:Q5)</f>
        <v>2860</v>
      </c>
      <c r="S5" s="190">
        <f>IF(M5="","",IF(N5="","",R5/L5))</f>
        <v>81.714285714285708</v>
      </c>
      <c r="T5" s="189">
        <v>900</v>
      </c>
      <c r="U5" s="188">
        <v>900</v>
      </c>
    </row>
    <row r="6" spans="2:21" ht="20.100000000000001" customHeight="1" x14ac:dyDescent="0.25">
      <c r="B6" s="5">
        <v>2</v>
      </c>
      <c r="C6" s="16">
        <v>5</v>
      </c>
      <c r="D6" s="16">
        <v>5</v>
      </c>
      <c r="E6" s="16">
        <v>5</v>
      </c>
      <c r="F6" s="16">
        <v>5</v>
      </c>
      <c r="G6" s="16">
        <v>5</v>
      </c>
      <c r="H6" s="16">
        <v>5</v>
      </c>
      <c r="I6" s="16">
        <v>5</v>
      </c>
      <c r="J6" s="16"/>
      <c r="K6" s="158"/>
      <c r="L6" s="164">
        <f t="shared" ref="L6:L11" si="0">SUM(C6:K6)</f>
        <v>35</v>
      </c>
      <c r="M6" s="170"/>
      <c r="N6" s="72"/>
      <c r="O6" s="175"/>
      <c r="P6" s="178">
        <f t="shared" ref="P6:P11" si="1">M6*9.3</f>
        <v>0</v>
      </c>
      <c r="Q6" s="77">
        <f t="shared" ref="Q6:Q11" si="2">N6*5</f>
        <v>0</v>
      </c>
      <c r="R6" s="77">
        <f t="shared" ref="R6:R11" si="3">SUM(P6:Q6)</f>
        <v>0</v>
      </c>
      <c r="S6" s="182" t="str">
        <f t="shared" ref="S6:S11" si="4">IF(M6="","",IF(N6="","",R6/L6))</f>
        <v/>
      </c>
      <c r="T6" s="185"/>
      <c r="U6" s="73"/>
    </row>
    <row r="7" spans="2:21" ht="20.100000000000001" customHeight="1" x14ac:dyDescent="0.25">
      <c r="B7" s="5">
        <v>3</v>
      </c>
      <c r="C7" s="16"/>
      <c r="D7" s="16"/>
      <c r="E7" s="16"/>
      <c r="F7" s="16"/>
      <c r="G7" s="16"/>
      <c r="H7" s="16"/>
      <c r="I7" s="16"/>
      <c r="J7" s="16"/>
      <c r="K7" s="158"/>
      <c r="L7" s="164">
        <f t="shared" si="0"/>
        <v>0</v>
      </c>
      <c r="M7" s="170"/>
      <c r="N7" s="72"/>
      <c r="O7" s="175"/>
      <c r="P7" s="178">
        <f t="shared" si="1"/>
        <v>0</v>
      </c>
      <c r="Q7" s="77">
        <f t="shared" si="2"/>
        <v>0</v>
      </c>
      <c r="R7" s="77">
        <f t="shared" si="3"/>
        <v>0</v>
      </c>
      <c r="S7" s="182" t="str">
        <f t="shared" si="4"/>
        <v/>
      </c>
      <c r="T7" s="185"/>
      <c r="U7" s="73"/>
    </row>
    <row r="8" spans="2:21" ht="20.100000000000001" customHeight="1" x14ac:dyDescent="0.25">
      <c r="B8" s="5">
        <v>4</v>
      </c>
      <c r="C8" s="16"/>
      <c r="D8" s="16"/>
      <c r="E8" s="16"/>
      <c r="F8" s="16"/>
      <c r="G8" s="16"/>
      <c r="H8" s="16"/>
      <c r="I8" s="16"/>
      <c r="J8" s="16"/>
      <c r="K8" s="158"/>
      <c r="L8" s="164">
        <f t="shared" si="0"/>
        <v>0</v>
      </c>
      <c r="M8" s="170"/>
      <c r="N8" s="72"/>
      <c r="O8" s="175"/>
      <c r="P8" s="178">
        <f t="shared" si="1"/>
        <v>0</v>
      </c>
      <c r="Q8" s="77">
        <f t="shared" si="2"/>
        <v>0</v>
      </c>
      <c r="R8" s="77">
        <f t="shared" si="3"/>
        <v>0</v>
      </c>
      <c r="S8" s="182" t="str">
        <f t="shared" si="4"/>
        <v/>
      </c>
      <c r="T8" s="185"/>
      <c r="U8" s="73"/>
    </row>
    <row r="9" spans="2:21" ht="20.100000000000001" customHeight="1" thickBot="1" x14ac:dyDescent="0.3">
      <c r="B9" s="13">
        <v>5</v>
      </c>
      <c r="C9" s="17"/>
      <c r="D9" s="17"/>
      <c r="E9" s="17"/>
      <c r="F9" s="17"/>
      <c r="G9" s="17"/>
      <c r="H9" s="17"/>
      <c r="I9" s="17"/>
      <c r="J9" s="17"/>
      <c r="K9" s="159"/>
      <c r="L9" s="165">
        <f t="shared" si="0"/>
        <v>0</v>
      </c>
      <c r="M9" s="171"/>
      <c r="N9" s="88"/>
      <c r="O9" s="176"/>
      <c r="P9" s="179">
        <f t="shared" si="1"/>
        <v>0</v>
      </c>
      <c r="Q9" s="78">
        <f t="shared" si="2"/>
        <v>0</v>
      </c>
      <c r="R9" s="78">
        <f t="shared" si="3"/>
        <v>0</v>
      </c>
      <c r="S9" s="183" t="str">
        <f t="shared" si="4"/>
        <v/>
      </c>
      <c r="T9" s="186"/>
      <c r="U9" s="74"/>
    </row>
    <row r="10" spans="2:21" ht="20.100000000000001" customHeight="1" x14ac:dyDescent="0.25">
      <c r="B10" s="11">
        <v>6</v>
      </c>
      <c r="C10" s="18"/>
      <c r="D10" s="18"/>
      <c r="E10" s="18"/>
      <c r="F10" s="18"/>
      <c r="G10" s="18"/>
      <c r="H10" s="18"/>
      <c r="I10" s="18"/>
      <c r="J10" s="18"/>
      <c r="K10" s="160"/>
      <c r="L10" s="166">
        <f t="shared" si="0"/>
        <v>0</v>
      </c>
      <c r="M10" s="172"/>
      <c r="N10" s="89"/>
      <c r="O10" s="177"/>
      <c r="P10" s="180">
        <f t="shared" si="1"/>
        <v>0</v>
      </c>
      <c r="Q10" s="79">
        <f t="shared" si="2"/>
        <v>0</v>
      </c>
      <c r="R10" s="79">
        <f t="shared" si="3"/>
        <v>0</v>
      </c>
      <c r="S10" s="184" t="str">
        <f t="shared" si="4"/>
        <v/>
      </c>
      <c r="T10" s="187"/>
      <c r="U10" s="75"/>
    </row>
    <row r="11" spans="2:21" ht="20.100000000000001" customHeight="1" thickBot="1" x14ac:dyDescent="0.3">
      <c r="B11" s="5">
        <v>7</v>
      </c>
      <c r="C11" s="67"/>
      <c r="D11" s="67"/>
      <c r="E11" s="67"/>
      <c r="F11" s="67"/>
      <c r="G11" s="67"/>
      <c r="H11" s="67"/>
      <c r="I11" s="67"/>
      <c r="J11" s="67"/>
      <c r="K11" s="161"/>
      <c r="L11" s="167">
        <f t="shared" si="0"/>
        <v>0</v>
      </c>
      <c r="M11" s="170"/>
      <c r="N11" s="72"/>
      <c r="O11" s="175"/>
      <c r="P11" s="181">
        <f t="shared" si="1"/>
        <v>0</v>
      </c>
      <c r="Q11" s="80">
        <f t="shared" si="2"/>
        <v>0</v>
      </c>
      <c r="R11" s="77">
        <f t="shared" si="3"/>
        <v>0</v>
      </c>
      <c r="S11" s="183" t="str">
        <f t="shared" si="4"/>
        <v/>
      </c>
      <c r="T11" s="186"/>
      <c r="U11" s="76"/>
    </row>
    <row r="12" spans="2:21" s="1" customFormat="1" ht="20.100000000000001" customHeight="1" x14ac:dyDescent="0.25">
      <c r="B12" s="220"/>
      <c r="C12" s="68">
        <f t="shared" ref="C12:L12" si="5">SUM(C5:C11)</f>
        <v>10</v>
      </c>
      <c r="D12" s="69">
        <f t="shared" si="5"/>
        <v>10</v>
      </c>
      <c r="E12" s="69">
        <f t="shared" si="5"/>
        <v>10</v>
      </c>
      <c r="F12" s="69">
        <f t="shared" si="5"/>
        <v>10</v>
      </c>
      <c r="G12" s="69">
        <f t="shared" si="5"/>
        <v>10</v>
      </c>
      <c r="H12" s="69">
        <f t="shared" si="5"/>
        <v>10</v>
      </c>
      <c r="I12" s="69">
        <f t="shared" si="5"/>
        <v>10</v>
      </c>
      <c r="J12" s="69">
        <f t="shared" si="5"/>
        <v>0</v>
      </c>
      <c r="K12" s="162">
        <f t="shared" si="5"/>
        <v>0</v>
      </c>
      <c r="L12" s="168">
        <f t="shared" si="5"/>
        <v>70</v>
      </c>
      <c r="M12" s="224">
        <f>SUM(M5:M11)</f>
        <v>200</v>
      </c>
      <c r="N12" s="226">
        <f>SUM(N5:N11)</f>
        <v>200</v>
      </c>
      <c r="O12" s="228">
        <f>O11</f>
        <v>0</v>
      </c>
      <c r="P12" s="232">
        <f>SUM(P5:P11)</f>
        <v>1860.0000000000002</v>
      </c>
      <c r="Q12" s="230">
        <f>SUM(Q5:Q11)</f>
        <v>1000</v>
      </c>
      <c r="R12" s="230">
        <f>SUM(R5:R11)</f>
        <v>2860</v>
      </c>
      <c r="S12" s="319">
        <f>R12/L12</f>
        <v>40.857142857142854</v>
      </c>
      <c r="T12" s="242">
        <f>T11</f>
        <v>0</v>
      </c>
      <c r="U12" s="244">
        <f>U11</f>
        <v>0</v>
      </c>
    </row>
    <row r="13" spans="2:21" s="10" customFormat="1" ht="20.100000000000001" customHeight="1" thickBot="1" x14ac:dyDescent="0.3">
      <c r="B13" s="221"/>
      <c r="C13" s="70">
        <f t="shared" ref="C13:K13" si="6">COUNTA(C5:C11)</f>
        <v>2</v>
      </c>
      <c r="D13" s="71">
        <f t="shared" si="6"/>
        <v>2</v>
      </c>
      <c r="E13" s="71">
        <f t="shared" si="6"/>
        <v>2</v>
      </c>
      <c r="F13" s="71">
        <f t="shared" si="6"/>
        <v>2</v>
      </c>
      <c r="G13" s="71">
        <f t="shared" si="6"/>
        <v>2</v>
      </c>
      <c r="H13" s="71">
        <f t="shared" si="6"/>
        <v>2</v>
      </c>
      <c r="I13" s="71">
        <f t="shared" si="6"/>
        <v>2</v>
      </c>
      <c r="J13" s="71">
        <f t="shared" si="6"/>
        <v>0</v>
      </c>
      <c r="K13" s="163">
        <f t="shared" si="6"/>
        <v>0</v>
      </c>
      <c r="L13" s="169">
        <f>SUM(C13:K13)</f>
        <v>14</v>
      </c>
      <c r="M13" s="225"/>
      <c r="N13" s="227"/>
      <c r="O13" s="229"/>
      <c r="P13" s="233"/>
      <c r="Q13" s="231"/>
      <c r="R13" s="231"/>
      <c r="S13" s="320"/>
      <c r="T13" s="243"/>
      <c r="U13" s="245"/>
    </row>
    <row r="14" spans="2:21" x14ac:dyDescent="0.25">
      <c r="E14">
        <v>5</v>
      </c>
    </row>
    <row r="26" spans="21:21" x14ac:dyDescent="0.25">
      <c r="U26" s="103">
        <f>SUM(R5)</f>
        <v>2860</v>
      </c>
    </row>
  </sheetData>
  <mergeCells count="18">
    <mergeCell ref="T2:U2"/>
    <mergeCell ref="T3:T4"/>
    <mergeCell ref="U3:U4"/>
    <mergeCell ref="T12:T13"/>
    <mergeCell ref="U12:U13"/>
    <mergeCell ref="R3:R4"/>
    <mergeCell ref="S3:S4"/>
    <mergeCell ref="B12:B13"/>
    <mergeCell ref="P2:S2"/>
    <mergeCell ref="M12:M13"/>
    <mergeCell ref="N12:N13"/>
    <mergeCell ref="O12:O13"/>
    <mergeCell ref="S12:S13"/>
    <mergeCell ref="R12:R13"/>
    <mergeCell ref="Q12:Q13"/>
    <mergeCell ref="P12:P13"/>
    <mergeCell ref="B2:L3"/>
    <mergeCell ref="M2:O2"/>
  </mergeCells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2757-5415-468D-9874-2AAB9B3D269B}">
  <dimension ref="B1:AZ25"/>
  <sheetViews>
    <sheetView zoomScaleNormal="100" workbookViewId="0">
      <selection activeCell="E4" sqref="E4"/>
    </sheetView>
  </sheetViews>
  <sheetFormatPr defaultRowHeight="15" x14ac:dyDescent="0.25"/>
  <cols>
    <col min="1" max="1" width="1.28515625" customWidth="1"/>
    <col min="2" max="2" width="2.7109375" style="7" customWidth="1"/>
    <col min="3" max="22" width="6.28515625" customWidth="1"/>
    <col min="23" max="24" width="7.7109375" customWidth="1"/>
    <col min="25" max="25" width="6.42578125" bestFit="1" customWidth="1"/>
    <col min="26" max="26" width="5.7109375" bestFit="1" customWidth="1"/>
    <col min="27" max="27" width="1.5703125" customWidth="1"/>
    <col min="28" max="28" width="3.85546875" bestFit="1" customWidth="1"/>
    <col min="29" max="48" width="6.28515625" customWidth="1"/>
  </cols>
  <sheetData>
    <row r="1" spans="2:52" ht="20.100000000000001" customHeight="1" x14ac:dyDescent="0.25">
      <c r="B1" s="277" t="s">
        <v>12</v>
      </c>
      <c r="C1" s="279" t="s">
        <v>37</v>
      </c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80" t="s">
        <v>31</v>
      </c>
      <c r="X1" s="280"/>
      <c r="Y1" s="280"/>
      <c r="Z1" s="280"/>
      <c r="AB1" s="277" t="s">
        <v>12</v>
      </c>
      <c r="AC1" s="279" t="s">
        <v>33</v>
      </c>
      <c r="AD1" s="248"/>
      <c r="AE1" s="248"/>
      <c r="AF1" s="248"/>
      <c r="AG1" s="248"/>
      <c r="AH1" s="248"/>
      <c r="AI1" s="248"/>
      <c r="AJ1" s="248"/>
      <c r="AK1" s="248"/>
      <c r="AL1" s="248"/>
      <c r="AM1" s="248"/>
      <c r="AN1" s="248"/>
      <c r="AO1" s="248"/>
      <c r="AP1" s="248"/>
      <c r="AQ1" s="248"/>
      <c r="AR1" s="248"/>
      <c r="AS1" s="248"/>
      <c r="AT1" s="248"/>
      <c r="AU1" s="248"/>
      <c r="AV1" s="248"/>
      <c r="AW1" s="280" t="s">
        <v>31</v>
      </c>
      <c r="AX1" s="280"/>
      <c r="AY1" s="280"/>
      <c r="AZ1" s="280"/>
    </row>
    <row r="2" spans="2:52" x14ac:dyDescent="0.25">
      <c r="B2" s="277"/>
      <c r="C2" s="281" t="s">
        <v>21</v>
      </c>
      <c r="D2" s="280"/>
      <c r="E2" s="280" t="s">
        <v>27</v>
      </c>
      <c r="F2" s="280"/>
      <c r="G2" s="280" t="s">
        <v>22</v>
      </c>
      <c r="H2" s="280"/>
      <c r="I2" s="280" t="s">
        <v>23</v>
      </c>
      <c r="J2" s="280"/>
      <c r="K2" s="280" t="s">
        <v>24</v>
      </c>
      <c r="L2" s="280"/>
      <c r="M2" s="280" t="s">
        <v>25</v>
      </c>
      <c r="N2" s="280"/>
      <c r="O2" s="280" t="s">
        <v>26</v>
      </c>
      <c r="P2" s="280"/>
      <c r="Q2" s="280" t="s">
        <v>28</v>
      </c>
      <c r="R2" s="280"/>
      <c r="S2" s="280" t="s">
        <v>29</v>
      </c>
      <c r="T2" s="280"/>
      <c r="U2" s="248" t="s">
        <v>50</v>
      </c>
      <c r="V2" s="248"/>
      <c r="W2" s="282" t="s">
        <v>30</v>
      </c>
      <c r="X2" s="282" t="s">
        <v>20</v>
      </c>
      <c r="Y2" s="20" t="s">
        <v>32</v>
      </c>
      <c r="Z2" s="20" t="s">
        <v>32</v>
      </c>
      <c r="AB2" s="277"/>
      <c r="AC2" s="281" t="s">
        <v>21</v>
      </c>
      <c r="AD2" s="280"/>
      <c r="AE2" s="280" t="s">
        <v>27</v>
      </c>
      <c r="AF2" s="280"/>
      <c r="AG2" s="280" t="s">
        <v>22</v>
      </c>
      <c r="AH2" s="280"/>
      <c r="AI2" s="280" t="s">
        <v>23</v>
      </c>
      <c r="AJ2" s="280"/>
      <c r="AK2" s="280" t="s">
        <v>24</v>
      </c>
      <c r="AL2" s="280"/>
      <c r="AM2" s="280" t="s">
        <v>25</v>
      </c>
      <c r="AN2" s="280"/>
      <c r="AO2" s="280" t="s">
        <v>26</v>
      </c>
      <c r="AP2" s="280"/>
      <c r="AQ2" s="280" t="s">
        <v>28</v>
      </c>
      <c r="AR2" s="280"/>
      <c r="AS2" s="280" t="s">
        <v>29</v>
      </c>
      <c r="AT2" s="280"/>
      <c r="AU2" s="248" t="s">
        <v>50</v>
      </c>
      <c r="AV2" s="248"/>
      <c r="AW2" s="282" t="s">
        <v>30</v>
      </c>
      <c r="AX2" s="282" t="s">
        <v>20</v>
      </c>
      <c r="AY2" s="20" t="s">
        <v>32</v>
      </c>
      <c r="AZ2" s="20" t="s">
        <v>32</v>
      </c>
    </row>
    <row r="3" spans="2:52" ht="18" customHeight="1" x14ac:dyDescent="0.25">
      <c r="B3" s="278"/>
      <c r="C3" s="28" t="s">
        <v>30</v>
      </c>
      <c r="D3" s="44" t="s">
        <v>20</v>
      </c>
      <c r="E3" s="28" t="s">
        <v>30</v>
      </c>
      <c r="F3" s="44" t="s">
        <v>20</v>
      </c>
      <c r="G3" s="28" t="s">
        <v>30</v>
      </c>
      <c r="H3" s="44" t="s">
        <v>20</v>
      </c>
      <c r="I3" s="28" t="s">
        <v>30</v>
      </c>
      <c r="J3" s="44" t="s">
        <v>20</v>
      </c>
      <c r="K3" s="28" t="s">
        <v>30</v>
      </c>
      <c r="L3" s="44" t="s">
        <v>20</v>
      </c>
      <c r="M3" s="28" t="s">
        <v>30</v>
      </c>
      <c r="N3" s="44" t="s">
        <v>20</v>
      </c>
      <c r="O3" s="28" t="s">
        <v>30</v>
      </c>
      <c r="P3" s="44" t="s">
        <v>20</v>
      </c>
      <c r="Q3" s="28" t="s">
        <v>30</v>
      </c>
      <c r="R3" s="44" t="s">
        <v>20</v>
      </c>
      <c r="S3" s="28" t="s">
        <v>30</v>
      </c>
      <c r="T3" s="44" t="s">
        <v>20</v>
      </c>
      <c r="U3" s="28" t="s">
        <v>30</v>
      </c>
      <c r="V3" s="44" t="s">
        <v>20</v>
      </c>
      <c r="W3" s="282"/>
      <c r="X3" s="282"/>
      <c r="Y3" s="23" t="s">
        <v>30</v>
      </c>
      <c r="Z3" s="23" t="s">
        <v>20</v>
      </c>
      <c r="AB3" s="278"/>
      <c r="AC3" s="28" t="s">
        <v>30</v>
      </c>
      <c r="AD3" s="302" t="s">
        <v>20</v>
      </c>
      <c r="AE3" s="28" t="s">
        <v>30</v>
      </c>
      <c r="AF3" s="302" t="s">
        <v>20</v>
      </c>
      <c r="AG3" s="28" t="s">
        <v>30</v>
      </c>
      <c r="AH3" s="302" t="s">
        <v>20</v>
      </c>
      <c r="AI3" s="28" t="s">
        <v>30</v>
      </c>
      <c r="AJ3" s="302" t="s">
        <v>20</v>
      </c>
      <c r="AK3" s="28" t="s">
        <v>30</v>
      </c>
      <c r="AL3" s="302" t="s">
        <v>20</v>
      </c>
      <c r="AM3" s="28" t="s">
        <v>30</v>
      </c>
      <c r="AN3" s="302" t="s">
        <v>20</v>
      </c>
      <c r="AO3" s="28" t="s">
        <v>30</v>
      </c>
      <c r="AP3" s="302" t="s">
        <v>20</v>
      </c>
      <c r="AQ3" s="28" t="s">
        <v>30</v>
      </c>
      <c r="AR3" s="302" t="s">
        <v>20</v>
      </c>
      <c r="AS3" s="28" t="s">
        <v>30</v>
      </c>
      <c r="AT3" s="302" t="s">
        <v>20</v>
      </c>
      <c r="AU3" s="28" t="s">
        <v>30</v>
      </c>
      <c r="AV3" s="302" t="s">
        <v>20</v>
      </c>
      <c r="AW3" s="282"/>
      <c r="AX3" s="282"/>
      <c r="AY3" s="20" t="s">
        <v>30</v>
      </c>
      <c r="AZ3" s="20" t="s">
        <v>20</v>
      </c>
    </row>
    <row r="4" spans="2:52" x14ac:dyDescent="0.25">
      <c r="B4" s="30">
        <v>1</v>
      </c>
      <c r="C4" s="318">
        <v>200</v>
      </c>
      <c r="D4" s="24">
        <v>200</v>
      </c>
      <c r="E4" s="309"/>
      <c r="F4" s="24"/>
      <c r="G4" s="309"/>
      <c r="H4" s="24"/>
      <c r="I4" s="309"/>
      <c r="J4" s="24"/>
      <c r="K4" s="309"/>
      <c r="L4" s="24"/>
      <c r="M4" s="309"/>
      <c r="N4" s="24"/>
      <c r="O4" s="309"/>
      <c r="P4" s="24"/>
      <c r="Q4" s="309"/>
      <c r="R4" s="24"/>
      <c r="S4" s="309"/>
      <c r="T4" s="24"/>
      <c r="U4" s="309"/>
      <c r="V4" s="24"/>
      <c r="W4" s="212">
        <f>SUM(C4,E4,G4,I4,K4,M4,O4,Q4,S4,U4)</f>
        <v>200</v>
      </c>
      <c r="X4" s="213">
        <f>SUM(D4,F4,H4,J4,L4,N4,P4,R4,T4,V4)</f>
        <v>200</v>
      </c>
      <c r="Y4" s="38">
        <f>COUNT(C4,E4,G4,I4,K4,M4,O4,Q4,S4,U4)</f>
        <v>1</v>
      </c>
      <c r="Z4" s="38">
        <f>COUNT(D4,F4,H4,J4,L4,N4,P4,R4,T4,V4)</f>
        <v>1</v>
      </c>
      <c r="AB4" s="30">
        <v>1</v>
      </c>
      <c r="AC4" s="313">
        <f>IF(C17="",C4,C4-C17)</f>
        <v>200</v>
      </c>
      <c r="AD4" s="303">
        <f t="shared" ref="AD4:AV4" si="0">IF(D17="",D4,D4-D17)</f>
        <v>200</v>
      </c>
      <c r="AE4" s="313">
        <f t="shared" si="0"/>
        <v>0</v>
      </c>
      <c r="AF4" s="308">
        <f t="shared" si="0"/>
        <v>0</v>
      </c>
      <c r="AG4" s="313">
        <f t="shared" si="0"/>
        <v>0</v>
      </c>
      <c r="AH4" s="303">
        <f t="shared" si="0"/>
        <v>0</v>
      </c>
      <c r="AI4" s="313">
        <f t="shared" si="0"/>
        <v>0</v>
      </c>
      <c r="AJ4" s="308">
        <f t="shared" si="0"/>
        <v>0</v>
      </c>
      <c r="AK4" s="313">
        <f t="shared" si="0"/>
        <v>0</v>
      </c>
      <c r="AL4" s="308">
        <f t="shared" si="0"/>
        <v>0</v>
      </c>
      <c r="AM4" s="313">
        <f t="shared" si="0"/>
        <v>0</v>
      </c>
      <c r="AN4" s="308">
        <f t="shared" si="0"/>
        <v>0</v>
      </c>
      <c r="AO4" s="313">
        <f t="shared" si="0"/>
        <v>0</v>
      </c>
      <c r="AP4" s="308">
        <f t="shared" si="0"/>
        <v>0</v>
      </c>
      <c r="AQ4" s="313">
        <f t="shared" si="0"/>
        <v>0</v>
      </c>
      <c r="AR4" s="308">
        <f t="shared" si="0"/>
        <v>0</v>
      </c>
      <c r="AS4" s="313">
        <f t="shared" si="0"/>
        <v>0</v>
      </c>
      <c r="AT4" s="308">
        <f t="shared" si="0"/>
        <v>0</v>
      </c>
      <c r="AU4" s="313">
        <f t="shared" si="0"/>
        <v>0</v>
      </c>
      <c r="AV4" s="308">
        <f t="shared" si="0"/>
        <v>0</v>
      </c>
      <c r="AW4" s="97">
        <f>SUM(AC4,AE4,AG4,AI4,AK4,AM4,AO4,AQ4,AS4,AU4)</f>
        <v>200</v>
      </c>
      <c r="AX4" s="97">
        <f>SUM(AD4,AF4,AH4,AJ4,AL4,AN4,AP4,AR4,AT4,AV4)</f>
        <v>200</v>
      </c>
      <c r="AY4" s="38">
        <f>COUNT(AC4,AE4,AG4,AI4,AK4,AM4,AO4,AQ4,AS4,AU4)</f>
        <v>10</v>
      </c>
      <c r="AZ4" s="38">
        <f>COUNT(AD4,AF4,AH4,AJ4,AL4,AN4,AP4,AR4,AT4,AV4)</f>
        <v>10</v>
      </c>
    </row>
    <row r="5" spans="2:52" x14ac:dyDescent="0.25">
      <c r="B5" s="30">
        <v>2</v>
      </c>
      <c r="C5" s="309"/>
      <c r="D5" s="24"/>
      <c r="E5" s="309"/>
      <c r="F5" s="24"/>
      <c r="G5" s="309"/>
      <c r="H5" s="24"/>
      <c r="I5" s="309"/>
      <c r="J5" s="24"/>
      <c r="K5" s="309"/>
      <c r="L5" s="24"/>
      <c r="M5" s="309"/>
      <c r="N5" s="24"/>
      <c r="O5" s="309"/>
      <c r="P5" s="24"/>
      <c r="Q5" s="309"/>
      <c r="R5" s="24"/>
      <c r="S5" s="309"/>
      <c r="T5" s="24"/>
      <c r="U5" s="309"/>
      <c r="V5" s="24"/>
      <c r="W5" s="212">
        <f t="shared" ref="W5:W10" si="1">SUM(C5,E5,G5,I5,K5,M5,O5,Q5,S5,U5)</f>
        <v>0</v>
      </c>
      <c r="X5" s="212">
        <f t="shared" ref="X5:X10" si="2">SUM(D5,F5,H5,J5,L5,N5,P5,R5,T5,V5)</f>
        <v>0</v>
      </c>
      <c r="Y5" s="38">
        <f t="shared" ref="Y5:Y10" si="3">COUNT(C5,E5,G5,I5,K5,M5,O5,Q5,S5,U5)</f>
        <v>0</v>
      </c>
      <c r="Z5" s="38">
        <f t="shared" ref="Z5:Z10" si="4">COUNT(D5,F5,H5,J5,L5,N5,P5,R5,T5,V5)</f>
        <v>0</v>
      </c>
      <c r="AB5" s="30">
        <v>2</v>
      </c>
      <c r="AC5" s="314">
        <f t="shared" ref="AC5:AC10" si="5">IF(C18="",C5,C5-C18)</f>
        <v>0</v>
      </c>
      <c r="AD5" s="304">
        <f t="shared" ref="AD5:AD10" si="6">IF(D18="",D5,D5-D18)</f>
        <v>0</v>
      </c>
      <c r="AE5" s="314">
        <f t="shared" ref="AE5:AE10" si="7">IF(E18="",E5,E5-E18)</f>
        <v>0</v>
      </c>
      <c r="AF5" s="304">
        <f t="shared" ref="AF5:AF10" si="8">IF(F18="",F5,F5-F18)</f>
        <v>0</v>
      </c>
      <c r="AG5" s="314">
        <f t="shared" ref="AG5:AG10" si="9">IF(G18="",G5,G5-G18)</f>
        <v>0</v>
      </c>
      <c r="AH5" s="304">
        <f t="shared" ref="AH5:AH10" si="10">IF(H18="",H5,H5-H18)</f>
        <v>0</v>
      </c>
      <c r="AI5" s="314">
        <f t="shared" ref="AI5:AI10" si="11">IF(I18="",I5,I5-I18)</f>
        <v>0</v>
      </c>
      <c r="AJ5" s="304">
        <f t="shared" ref="AJ5:AJ10" si="12">IF(J18="",J5,J5-J18)</f>
        <v>0</v>
      </c>
      <c r="AK5" s="314">
        <f t="shared" ref="AK5:AK10" si="13">IF(K18="",K5,K5-K18)</f>
        <v>0</v>
      </c>
      <c r="AL5" s="304">
        <f t="shared" ref="AL5:AL10" si="14">IF(L18="",L5,L5-L18)</f>
        <v>0</v>
      </c>
      <c r="AM5" s="314">
        <f t="shared" ref="AM5:AM10" si="15">IF(M18="",M5,M5-M18)</f>
        <v>0</v>
      </c>
      <c r="AN5" s="304">
        <f t="shared" ref="AN5:AN10" si="16">IF(N18="",N5,N5-N18)</f>
        <v>0</v>
      </c>
      <c r="AO5" s="314">
        <f t="shared" ref="AO5:AO10" si="17">IF(O18="",O5,O5-O18)</f>
        <v>0</v>
      </c>
      <c r="AP5" s="304">
        <f t="shared" ref="AP5:AP10" si="18">IF(P18="",P5,P5-P18)</f>
        <v>0</v>
      </c>
      <c r="AQ5" s="314">
        <f t="shared" ref="AQ5:AQ10" si="19">IF(Q18="",Q5,Q5-Q18)</f>
        <v>0</v>
      </c>
      <c r="AR5" s="304">
        <f t="shared" ref="AR5:AR10" si="20">IF(R18="",R5,R5-R18)</f>
        <v>0</v>
      </c>
      <c r="AS5" s="314">
        <f t="shared" ref="AS5:AS10" si="21">IF(S18="",S5,S5-S18)</f>
        <v>0</v>
      </c>
      <c r="AT5" s="304">
        <f t="shared" ref="AT5:AT10" si="22">IF(T18="",T5,T5-T18)</f>
        <v>0</v>
      </c>
      <c r="AU5" s="314">
        <f t="shared" ref="AU5:AU10" si="23">IF(U18="",U5,U5-U18)</f>
        <v>0</v>
      </c>
      <c r="AV5" s="304">
        <f t="shared" ref="AV5:AV10" si="24">IF(V18="",V5,V5-V18)</f>
        <v>0</v>
      </c>
      <c r="AW5" s="97">
        <f t="shared" ref="AW5:AW10" si="25">SUM(AC5,AE5,AG5,AI5,AK5,AM5,AO5,AQ5,AS5,AU5)</f>
        <v>0</v>
      </c>
      <c r="AX5" s="97">
        <f t="shared" ref="AW5:AX10" si="26">SUM(AD5,AF5,AH5,AJ5,AL5,AN5,AP5,AR5,AT5,AV5)</f>
        <v>0</v>
      </c>
      <c r="AY5" s="38">
        <f t="shared" ref="AY5:AY10" si="27">SUM(AE5,AG5,AI5,AK5,AM5,AO5,AQ5,AS5,AU5,AW5)</f>
        <v>0</v>
      </c>
      <c r="AZ5" s="38"/>
    </row>
    <row r="6" spans="2:52" x14ac:dyDescent="0.25">
      <c r="B6" s="30">
        <v>3</v>
      </c>
      <c r="C6" s="309"/>
      <c r="D6" s="24"/>
      <c r="E6" s="309"/>
      <c r="F6" s="24"/>
      <c r="G6" s="309"/>
      <c r="H6" s="24"/>
      <c r="I6" s="309"/>
      <c r="J6" s="24"/>
      <c r="K6" s="309"/>
      <c r="L6" s="24"/>
      <c r="M6" s="309"/>
      <c r="N6" s="24"/>
      <c r="O6" s="309"/>
      <c r="P6" s="24"/>
      <c r="Q6" s="309"/>
      <c r="R6" s="24"/>
      <c r="S6" s="309"/>
      <c r="T6" s="24"/>
      <c r="U6" s="309"/>
      <c r="V6" s="24"/>
      <c r="W6" s="212">
        <f t="shared" si="1"/>
        <v>0</v>
      </c>
      <c r="X6" s="212">
        <f t="shared" si="2"/>
        <v>0</v>
      </c>
      <c r="Y6" s="38">
        <f t="shared" si="3"/>
        <v>0</v>
      </c>
      <c r="Z6" s="38">
        <f t="shared" si="4"/>
        <v>0</v>
      </c>
      <c r="AB6" s="30">
        <v>3</v>
      </c>
      <c r="AC6" s="314">
        <f t="shared" si="5"/>
        <v>0</v>
      </c>
      <c r="AD6" s="304">
        <f t="shared" si="6"/>
        <v>0</v>
      </c>
      <c r="AE6" s="314">
        <f t="shared" si="7"/>
        <v>0</v>
      </c>
      <c r="AF6" s="304">
        <f t="shared" si="8"/>
        <v>0</v>
      </c>
      <c r="AG6" s="314">
        <f t="shared" si="9"/>
        <v>0</v>
      </c>
      <c r="AH6" s="304">
        <f t="shared" si="10"/>
        <v>0</v>
      </c>
      <c r="AI6" s="314">
        <f t="shared" si="11"/>
        <v>0</v>
      </c>
      <c r="AJ6" s="304">
        <f t="shared" si="12"/>
        <v>0</v>
      </c>
      <c r="AK6" s="314">
        <f t="shared" si="13"/>
        <v>0</v>
      </c>
      <c r="AL6" s="304">
        <f t="shared" si="14"/>
        <v>0</v>
      </c>
      <c r="AM6" s="314">
        <f t="shared" si="15"/>
        <v>0</v>
      </c>
      <c r="AN6" s="304">
        <f t="shared" si="16"/>
        <v>0</v>
      </c>
      <c r="AO6" s="314">
        <f t="shared" si="17"/>
        <v>0</v>
      </c>
      <c r="AP6" s="304">
        <f t="shared" si="18"/>
        <v>0</v>
      </c>
      <c r="AQ6" s="314">
        <f t="shared" si="19"/>
        <v>0</v>
      </c>
      <c r="AR6" s="304">
        <f t="shared" si="20"/>
        <v>0</v>
      </c>
      <c r="AS6" s="314">
        <f t="shared" si="21"/>
        <v>0</v>
      </c>
      <c r="AT6" s="304">
        <f t="shared" si="22"/>
        <v>0</v>
      </c>
      <c r="AU6" s="314">
        <f t="shared" si="23"/>
        <v>0</v>
      </c>
      <c r="AV6" s="304">
        <f t="shared" si="24"/>
        <v>0</v>
      </c>
      <c r="AW6" s="97">
        <f t="shared" si="25"/>
        <v>0</v>
      </c>
      <c r="AX6" s="97">
        <f t="shared" si="26"/>
        <v>0</v>
      </c>
      <c r="AY6" s="38">
        <f t="shared" si="27"/>
        <v>0</v>
      </c>
      <c r="AZ6" s="38"/>
    </row>
    <row r="7" spans="2:52" x14ac:dyDescent="0.25">
      <c r="B7" s="30">
        <v>4</v>
      </c>
      <c r="C7" s="309"/>
      <c r="D7" s="24"/>
      <c r="E7" s="309"/>
      <c r="F7" s="24"/>
      <c r="G7" s="309"/>
      <c r="H7" s="24"/>
      <c r="I7" s="309"/>
      <c r="J7" s="24"/>
      <c r="K7" s="309"/>
      <c r="L7" s="24"/>
      <c r="M7" s="309"/>
      <c r="N7" s="24"/>
      <c r="O7" s="309"/>
      <c r="P7" s="24"/>
      <c r="Q7" s="309"/>
      <c r="R7" s="24"/>
      <c r="S7" s="309"/>
      <c r="T7" s="24"/>
      <c r="U7" s="309"/>
      <c r="V7" s="24"/>
      <c r="W7" s="212">
        <f t="shared" si="1"/>
        <v>0</v>
      </c>
      <c r="X7" s="212">
        <f t="shared" si="2"/>
        <v>0</v>
      </c>
      <c r="Y7" s="38">
        <f t="shared" si="3"/>
        <v>0</v>
      </c>
      <c r="Z7" s="38">
        <f t="shared" si="4"/>
        <v>0</v>
      </c>
      <c r="AB7" s="30">
        <v>4</v>
      </c>
      <c r="AC7" s="314">
        <f t="shared" si="5"/>
        <v>0</v>
      </c>
      <c r="AD7" s="304">
        <f t="shared" si="6"/>
        <v>0</v>
      </c>
      <c r="AE7" s="314">
        <f t="shared" si="7"/>
        <v>0</v>
      </c>
      <c r="AF7" s="304">
        <f t="shared" si="8"/>
        <v>0</v>
      </c>
      <c r="AG7" s="314">
        <f t="shared" si="9"/>
        <v>0</v>
      </c>
      <c r="AH7" s="304">
        <f t="shared" si="10"/>
        <v>0</v>
      </c>
      <c r="AI7" s="314">
        <f t="shared" si="11"/>
        <v>0</v>
      </c>
      <c r="AJ7" s="304">
        <f t="shared" si="12"/>
        <v>0</v>
      </c>
      <c r="AK7" s="314">
        <f t="shared" si="13"/>
        <v>0</v>
      </c>
      <c r="AL7" s="304">
        <f t="shared" si="14"/>
        <v>0</v>
      </c>
      <c r="AM7" s="314">
        <f t="shared" si="15"/>
        <v>0</v>
      </c>
      <c r="AN7" s="304">
        <f t="shared" si="16"/>
        <v>0</v>
      </c>
      <c r="AO7" s="314">
        <f t="shared" si="17"/>
        <v>0</v>
      </c>
      <c r="AP7" s="304">
        <f t="shared" si="18"/>
        <v>0</v>
      </c>
      <c r="AQ7" s="314">
        <f t="shared" si="19"/>
        <v>0</v>
      </c>
      <c r="AR7" s="304">
        <f t="shared" si="20"/>
        <v>0</v>
      </c>
      <c r="AS7" s="314">
        <f t="shared" si="21"/>
        <v>0</v>
      </c>
      <c r="AT7" s="304">
        <f t="shared" si="22"/>
        <v>0</v>
      </c>
      <c r="AU7" s="314">
        <f t="shared" si="23"/>
        <v>0</v>
      </c>
      <c r="AV7" s="304">
        <f t="shared" si="24"/>
        <v>0</v>
      </c>
      <c r="AW7" s="97">
        <f t="shared" si="25"/>
        <v>0</v>
      </c>
      <c r="AX7" s="97">
        <f t="shared" si="26"/>
        <v>0</v>
      </c>
      <c r="AY7" s="38">
        <f t="shared" si="27"/>
        <v>0</v>
      </c>
      <c r="AZ7" s="38"/>
    </row>
    <row r="8" spans="2:52" ht="15.75" thickBot="1" x14ac:dyDescent="0.3">
      <c r="B8" s="30">
        <v>5</v>
      </c>
      <c r="C8" s="310"/>
      <c r="D8" s="25"/>
      <c r="E8" s="310"/>
      <c r="F8" s="25"/>
      <c r="G8" s="310"/>
      <c r="H8" s="25"/>
      <c r="I8" s="310"/>
      <c r="J8" s="25"/>
      <c r="K8" s="310"/>
      <c r="L8" s="25"/>
      <c r="M8" s="310"/>
      <c r="N8" s="25"/>
      <c r="O8" s="310"/>
      <c r="P8" s="25"/>
      <c r="Q8" s="310"/>
      <c r="R8" s="25"/>
      <c r="S8" s="310"/>
      <c r="T8" s="25"/>
      <c r="U8" s="310"/>
      <c r="V8" s="25"/>
      <c r="W8" s="214">
        <f t="shared" si="1"/>
        <v>0</v>
      </c>
      <c r="X8" s="214">
        <f t="shared" si="2"/>
        <v>0</v>
      </c>
      <c r="Y8" s="39">
        <f t="shared" si="3"/>
        <v>0</v>
      </c>
      <c r="Z8" s="39">
        <f t="shared" si="4"/>
        <v>0</v>
      </c>
      <c r="AB8" s="30">
        <v>5</v>
      </c>
      <c r="AC8" s="315">
        <f t="shared" si="5"/>
        <v>0</v>
      </c>
      <c r="AD8" s="305">
        <f t="shared" si="6"/>
        <v>0</v>
      </c>
      <c r="AE8" s="315">
        <f t="shared" si="7"/>
        <v>0</v>
      </c>
      <c r="AF8" s="305">
        <f t="shared" si="8"/>
        <v>0</v>
      </c>
      <c r="AG8" s="315">
        <f t="shared" si="9"/>
        <v>0</v>
      </c>
      <c r="AH8" s="305">
        <f t="shared" si="10"/>
        <v>0</v>
      </c>
      <c r="AI8" s="315">
        <f t="shared" si="11"/>
        <v>0</v>
      </c>
      <c r="AJ8" s="305">
        <f t="shared" si="12"/>
        <v>0</v>
      </c>
      <c r="AK8" s="315">
        <f t="shared" si="13"/>
        <v>0</v>
      </c>
      <c r="AL8" s="305">
        <f t="shared" si="14"/>
        <v>0</v>
      </c>
      <c r="AM8" s="315">
        <f t="shared" si="15"/>
        <v>0</v>
      </c>
      <c r="AN8" s="305">
        <f t="shared" si="16"/>
        <v>0</v>
      </c>
      <c r="AO8" s="315">
        <f t="shared" si="17"/>
        <v>0</v>
      </c>
      <c r="AP8" s="305">
        <f t="shared" si="18"/>
        <v>0</v>
      </c>
      <c r="AQ8" s="315">
        <f t="shared" si="19"/>
        <v>0</v>
      </c>
      <c r="AR8" s="305">
        <f t="shared" si="20"/>
        <v>0</v>
      </c>
      <c r="AS8" s="315">
        <f t="shared" si="21"/>
        <v>0</v>
      </c>
      <c r="AT8" s="305">
        <f t="shared" si="22"/>
        <v>0</v>
      </c>
      <c r="AU8" s="315">
        <f t="shared" si="23"/>
        <v>0</v>
      </c>
      <c r="AV8" s="305">
        <f t="shared" si="24"/>
        <v>0</v>
      </c>
      <c r="AW8" s="97">
        <f t="shared" si="25"/>
        <v>0</v>
      </c>
      <c r="AX8" s="98">
        <f t="shared" si="26"/>
        <v>0</v>
      </c>
      <c r="AY8" s="39">
        <f t="shared" si="27"/>
        <v>0</v>
      </c>
      <c r="AZ8" s="39"/>
    </row>
    <row r="9" spans="2:52" x14ac:dyDescent="0.25">
      <c r="B9" s="30">
        <v>6</v>
      </c>
      <c r="C9" s="311"/>
      <c r="D9" s="26"/>
      <c r="E9" s="311"/>
      <c r="F9" s="26"/>
      <c r="G9" s="311"/>
      <c r="H9" s="26"/>
      <c r="I9" s="311"/>
      <c r="J9" s="26"/>
      <c r="K9" s="311"/>
      <c r="L9" s="26"/>
      <c r="M9" s="311"/>
      <c r="N9" s="26"/>
      <c r="O9" s="311"/>
      <c r="P9" s="26"/>
      <c r="Q9" s="311"/>
      <c r="R9" s="26"/>
      <c r="S9" s="311"/>
      <c r="T9" s="26"/>
      <c r="U9" s="311"/>
      <c r="V9" s="26"/>
      <c r="W9" s="215">
        <f t="shared" si="1"/>
        <v>0</v>
      </c>
      <c r="X9" s="215">
        <f t="shared" si="2"/>
        <v>0</v>
      </c>
      <c r="Y9" s="40">
        <f t="shared" si="3"/>
        <v>0</v>
      </c>
      <c r="Z9" s="40">
        <f t="shared" si="4"/>
        <v>0</v>
      </c>
      <c r="AB9" s="30">
        <v>6</v>
      </c>
      <c r="AC9" s="316">
        <f t="shared" si="5"/>
        <v>0</v>
      </c>
      <c r="AD9" s="306">
        <f t="shared" si="6"/>
        <v>0</v>
      </c>
      <c r="AE9" s="316">
        <f t="shared" si="7"/>
        <v>0</v>
      </c>
      <c r="AF9" s="306">
        <f t="shared" si="8"/>
        <v>0</v>
      </c>
      <c r="AG9" s="316">
        <f t="shared" si="9"/>
        <v>0</v>
      </c>
      <c r="AH9" s="306">
        <f t="shared" si="10"/>
        <v>0</v>
      </c>
      <c r="AI9" s="316">
        <f t="shared" si="11"/>
        <v>0</v>
      </c>
      <c r="AJ9" s="306">
        <f t="shared" si="12"/>
        <v>0</v>
      </c>
      <c r="AK9" s="316">
        <f t="shared" si="13"/>
        <v>0</v>
      </c>
      <c r="AL9" s="306">
        <f t="shared" si="14"/>
        <v>0</v>
      </c>
      <c r="AM9" s="316">
        <f t="shared" si="15"/>
        <v>0</v>
      </c>
      <c r="AN9" s="306">
        <f t="shared" si="16"/>
        <v>0</v>
      </c>
      <c r="AO9" s="316">
        <f t="shared" si="17"/>
        <v>0</v>
      </c>
      <c r="AP9" s="306">
        <f t="shared" si="18"/>
        <v>0</v>
      </c>
      <c r="AQ9" s="316">
        <f t="shared" si="19"/>
        <v>0</v>
      </c>
      <c r="AR9" s="306">
        <f t="shared" si="20"/>
        <v>0</v>
      </c>
      <c r="AS9" s="316">
        <f t="shared" si="21"/>
        <v>0</v>
      </c>
      <c r="AT9" s="306">
        <f t="shared" si="22"/>
        <v>0</v>
      </c>
      <c r="AU9" s="316">
        <f t="shared" si="23"/>
        <v>0</v>
      </c>
      <c r="AV9" s="306">
        <f t="shared" si="24"/>
        <v>0</v>
      </c>
      <c r="AW9" s="97">
        <f t="shared" si="25"/>
        <v>0</v>
      </c>
      <c r="AX9" s="99">
        <f t="shared" si="26"/>
        <v>0</v>
      </c>
      <c r="AY9" s="40">
        <f t="shared" si="27"/>
        <v>0</v>
      </c>
      <c r="AZ9" s="40"/>
    </row>
    <row r="10" spans="2:52" ht="15.75" thickBot="1" x14ac:dyDescent="0.3">
      <c r="B10" s="34">
        <v>7</v>
      </c>
      <c r="C10" s="312"/>
      <c r="D10" s="35"/>
      <c r="E10" s="312"/>
      <c r="F10" s="35"/>
      <c r="G10" s="312"/>
      <c r="H10" s="35"/>
      <c r="I10" s="312"/>
      <c r="J10" s="35"/>
      <c r="K10" s="312"/>
      <c r="L10" s="35"/>
      <c r="M10" s="312"/>
      <c r="N10" s="35"/>
      <c r="O10" s="312"/>
      <c r="P10" s="35"/>
      <c r="Q10" s="312"/>
      <c r="R10" s="35"/>
      <c r="S10" s="312"/>
      <c r="T10" s="35"/>
      <c r="U10" s="312"/>
      <c r="V10" s="35"/>
      <c r="W10" s="214">
        <f t="shared" si="1"/>
        <v>0</v>
      </c>
      <c r="X10" s="214">
        <f t="shared" si="2"/>
        <v>0</v>
      </c>
      <c r="Y10" s="39">
        <f t="shared" si="3"/>
        <v>0</v>
      </c>
      <c r="Z10" s="39">
        <f t="shared" si="4"/>
        <v>0</v>
      </c>
      <c r="AB10" s="34">
        <v>7</v>
      </c>
      <c r="AC10" s="317">
        <f t="shared" si="5"/>
        <v>0</v>
      </c>
      <c r="AD10" s="307">
        <f t="shared" si="6"/>
        <v>0</v>
      </c>
      <c r="AE10" s="317">
        <f t="shared" si="7"/>
        <v>0</v>
      </c>
      <c r="AF10" s="307">
        <f t="shared" si="8"/>
        <v>0</v>
      </c>
      <c r="AG10" s="317">
        <f t="shared" si="9"/>
        <v>0</v>
      </c>
      <c r="AH10" s="307">
        <f t="shared" si="10"/>
        <v>0</v>
      </c>
      <c r="AI10" s="317">
        <f t="shared" si="11"/>
        <v>0</v>
      </c>
      <c r="AJ10" s="307">
        <f t="shared" si="12"/>
        <v>0</v>
      </c>
      <c r="AK10" s="317">
        <f t="shared" si="13"/>
        <v>0</v>
      </c>
      <c r="AL10" s="307">
        <f t="shared" si="14"/>
        <v>0</v>
      </c>
      <c r="AM10" s="317">
        <f t="shared" si="15"/>
        <v>0</v>
      </c>
      <c r="AN10" s="307">
        <f t="shared" si="16"/>
        <v>0</v>
      </c>
      <c r="AO10" s="317">
        <f t="shared" si="17"/>
        <v>0</v>
      </c>
      <c r="AP10" s="307">
        <f t="shared" si="18"/>
        <v>0</v>
      </c>
      <c r="AQ10" s="317">
        <f t="shared" si="19"/>
        <v>0</v>
      </c>
      <c r="AR10" s="307">
        <f t="shared" si="20"/>
        <v>0</v>
      </c>
      <c r="AS10" s="317">
        <f t="shared" si="21"/>
        <v>0</v>
      </c>
      <c r="AT10" s="307">
        <f t="shared" si="22"/>
        <v>0</v>
      </c>
      <c r="AU10" s="317">
        <f t="shared" si="23"/>
        <v>0</v>
      </c>
      <c r="AV10" s="307">
        <f t="shared" si="24"/>
        <v>0</v>
      </c>
      <c r="AW10" s="97">
        <f t="shared" si="25"/>
        <v>0</v>
      </c>
      <c r="AX10" s="98">
        <f t="shared" si="26"/>
        <v>0</v>
      </c>
      <c r="AY10" s="39">
        <f t="shared" si="27"/>
        <v>0</v>
      </c>
      <c r="AZ10" s="39"/>
    </row>
    <row r="11" spans="2:52" s="1" customFormat="1" ht="20.100000000000001" customHeight="1" x14ac:dyDescent="0.25">
      <c r="B11" s="272"/>
      <c r="C11" s="61">
        <f>SUM(C4:C10)</f>
        <v>200</v>
      </c>
      <c r="D11" s="62"/>
      <c r="E11" s="62">
        <f>SUM(E4:E10)</f>
        <v>0</v>
      </c>
      <c r="F11" s="62"/>
      <c r="G11" s="62">
        <f>SUM(G4:G10)</f>
        <v>0</v>
      </c>
      <c r="H11" s="62"/>
      <c r="I11" s="62">
        <f>SUM(I4:I10)</f>
        <v>0</v>
      </c>
      <c r="J11" s="62"/>
      <c r="K11" s="62">
        <f>SUM(K4:K10)</f>
        <v>0</v>
      </c>
      <c r="L11" s="62"/>
      <c r="M11" s="62">
        <f>SUM(M4:M10)</f>
        <v>0</v>
      </c>
      <c r="N11" s="62"/>
      <c r="O11" s="62">
        <f>SUM(O4:O10)</f>
        <v>0</v>
      </c>
      <c r="P11" s="62"/>
      <c r="Q11" s="62">
        <f>SUM(Q4:Q10)</f>
        <v>0</v>
      </c>
      <c r="R11" s="62"/>
      <c r="S11" s="62">
        <f>SUM(S4:S10)</f>
        <v>0</v>
      </c>
      <c r="T11" s="62"/>
      <c r="U11" s="62"/>
      <c r="V11" s="63"/>
      <c r="W11" s="283">
        <f t="shared" ref="W11" si="28">SUM(W4:W10)</f>
        <v>200</v>
      </c>
      <c r="X11" s="283">
        <f>SUM(X4:X10)</f>
        <v>200</v>
      </c>
      <c r="Y11" s="270">
        <f>SUM(Y4:Y10)</f>
        <v>1</v>
      </c>
      <c r="Z11" s="270">
        <f>SUM(Z4:Z10)</f>
        <v>1</v>
      </c>
      <c r="AB11" s="272"/>
      <c r="AC11" s="36">
        <f>SUM(AC4:AC10)</f>
        <v>200</v>
      </c>
      <c r="AD11" s="37"/>
      <c r="AE11" s="36">
        <f>SUM(AE4:AE10)</f>
        <v>0</v>
      </c>
      <c r="AF11" s="37"/>
      <c r="AG11" s="36">
        <f>SUM(AG4:AG10)</f>
        <v>0</v>
      </c>
      <c r="AH11" s="37"/>
      <c r="AI11" s="36">
        <f>SUM(AI4:AI10)</f>
        <v>0</v>
      </c>
      <c r="AJ11" s="37"/>
      <c r="AK11" s="36">
        <f>SUM(AK4:AK10)</f>
        <v>0</v>
      </c>
      <c r="AL11" s="37"/>
      <c r="AM11" s="36">
        <f>SUM(AM4:AM10)</f>
        <v>0</v>
      </c>
      <c r="AN11" s="37"/>
      <c r="AO11" s="36">
        <f>SUM(AO4:AO10)</f>
        <v>0</v>
      </c>
      <c r="AP11" s="37"/>
      <c r="AQ11" s="36">
        <f>SUM(AQ4:AQ10)</f>
        <v>0</v>
      </c>
      <c r="AR11" s="37"/>
      <c r="AS11" s="36">
        <f>SUM(AS4:AS10)</f>
        <v>0</v>
      </c>
      <c r="AT11" s="37"/>
      <c r="AU11" s="36"/>
      <c r="AV11" s="37"/>
      <c r="AW11" s="273">
        <f t="shared" ref="AW11" si="29">SUM(AW4:AW10)</f>
        <v>200</v>
      </c>
      <c r="AX11" s="285">
        <f>SUM(AX4:AX10)</f>
        <v>200</v>
      </c>
      <c r="AY11" s="270">
        <f>SUM(AY4:AY10)</f>
        <v>10</v>
      </c>
      <c r="AZ11" s="270">
        <f>SUM(AZ4:AZ10)</f>
        <v>10</v>
      </c>
    </row>
    <row r="12" spans="2:52" s="10" customFormat="1" ht="20.100000000000001" customHeight="1" x14ac:dyDescent="0.25">
      <c r="B12" s="221"/>
      <c r="C12" s="64">
        <f>COUNTA(C4:C10)</f>
        <v>1</v>
      </c>
      <c r="D12" s="65"/>
      <c r="E12" s="65">
        <f>COUNTA(E4:E10)</f>
        <v>0</v>
      </c>
      <c r="F12" s="65"/>
      <c r="G12" s="65">
        <f>COUNTA(G4:G10)</f>
        <v>0</v>
      </c>
      <c r="H12" s="65"/>
      <c r="I12" s="65">
        <f>COUNTA(I4:I10)</f>
        <v>0</v>
      </c>
      <c r="J12" s="65"/>
      <c r="K12" s="65">
        <f>COUNTA(K4:K10)</f>
        <v>0</v>
      </c>
      <c r="L12" s="65"/>
      <c r="M12" s="65">
        <f>COUNTA(M4:M10)</f>
        <v>0</v>
      </c>
      <c r="N12" s="65"/>
      <c r="O12" s="65">
        <f>COUNTA(O4:O10)</f>
        <v>0</v>
      </c>
      <c r="P12" s="65"/>
      <c r="Q12" s="65">
        <f>COUNTA(Q4:Q10)</f>
        <v>0</v>
      </c>
      <c r="R12" s="65"/>
      <c r="S12" s="65">
        <f>COUNTA(S4:S10)</f>
        <v>0</v>
      </c>
      <c r="T12" s="65"/>
      <c r="U12" s="65"/>
      <c r="V12" s="66"/>
      <c r="W12" s="284"/>
      <c r="X12" s="284"/>
      <c r="Y12" s="271"/>
      <c r="Z12" s="271"/>
      <c r="AB12" s="221"/>
      <c r="AC12" s="29">
        <f>COUNTA(AC4:AC10)</f>
        <v>7</v>
      </c>
      <c r="AD12" s="27"/>
      <c r="AE12" s="29">
        <f>COUNTA(AE4:AE10)</f>
        <v>7</v>
      </c>
      <c r="AF12" s="27"/>
      <c r="AG12" s="29">
        <f>COUNTA(AG4:AG10)</f>
        <v>7</v>
      </c>
      <c r="AH12" s="27"/>
      <c r="AI12" s="29">
        <f>COUNTA(AI4:AI10)</f>
        <v>7</v>
      </c>
      <c r="AJ12" s="27"/>
      <c r="AK12" s="29">
        <f>COUNTA(AK4:AK10)</f>
        <v>7</v>
      </c>
      <c r="AL12" s="27"/>
      <c r="AM12" s="29">
        <f>COUNTA(AM4:AM10)</f>
        <v>7</v>
      </c>
      <c r="AN12" s="27"/>
      <c r="AO12" s="29">
        <f>COUNTA(AO4:AO10)</f>
        <v>7</v>
      </c>
      <c r="AP12" s="27"/>
      <c r="AQ12" s="29">
        <f>COUNTA(AQ4:AQ10)</f>
        <v>7</v>
      </c>
      <c r="AR12" s="27"/>
      <c r="AS12" s="29">
        <f>COUNTA(AS4:AS10)</f>
        <v>7</v>
      </c>
      <c r="AT12" s="27"/>
      <c r="AU12" s="29"/>
      <c r="AV12" s="27"/>
      <c r="AW12" s="274"/>
      <c r="AX12" s="286"/>
      <c r="AY12" s="271"/>
      <c r="AZ12" s="271"/>
    </row>
    <row r="13" spans="2:52" ht="5.0999999999999996" customHeight="1" x14ac:dyDescent="0.25"/>
    <row r="14" spans="2:52" x14ac:dyDescent="0.25">
      <c r="B14" s="277" t="s">
        <v>12</v>
      </c>
      <c r="C14" s="279" t="s">
        <v>34</v>
      </c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80" t="s">
        <v>31</v>
      </c>
      <c r="X14" s="280"/>
      <c r="Y14" s="280"/>
      <c r="Z14" s="280"/>
    </row>
    <row r="15" spans="2:52" ht="15" customHeight="1" x14ac:dyDescent="0.25">
      <c r="B15" s="277"/>
      <c r="C15" s="281" t="s">
        <v>21</v>
      </c>
      <c r="D15" s="280"/>
      <c r="E15" s="280" t="s">
        <v>27</v>
      </c>
      <c r="F15" s="280"/>
      <c r="G15" s="280" t="s">
        <v>22</v>
      </c>
      <c r="H15" s="280"/>
      <c r="I15" s="280" t="s">
        <v>23</v>
      </c>
      <c r="J15" s="280"/>
      <c r="K15" s="280" t="s">
        <v>24</v>
      </c>
      <c r="L15" s="280"/>
      <c r="M15" s="280" t="s">
        <v>25</v>
      </c>
      <c r="N15" s="280"/>
      <c r="O15" s="280" t="s">
        <v>26</v>
      </c>
      <c r="P15" s="280"/>
      <c r="Q15" s="280" t="s">
        <v>28</v>
      </c>
      <c r="R15" s="280"/>
      <c r="S15" s="280" t="s">
        <v>29</v>
      </c>
      <c r="T15" s="280"/>
      <c r="U15" s="248" t="s">
        <v>50</v>
      </c>
      <c r="V15" s="248"/>
      <c r="W15" s="282" t="s">
        <v>30</v>
      </c>
      <c r="X15" s="282" t="s">
        <v>20</v>
      </c>
      <c r="Y15" s="20" t="s">
        <v>32</v>
      </c>
      <c r="Z15" s="20" t="s">
        <v>32</v>
      </c>
    </row>
    <row r="16" spans="2:52" ht="15" customHeight="1" x14ac:dyDescent="0.25">
      <c r="B16" s="278"/>
      <c r="C16" s="28" t="s">
        <v>30</v>
      </c>
      <c r="D16" s="44" t="s">
        <v>20</v>
      </c>
      <c r="E16" s="28" t="s">
        <v>30</v>
      </c>
      <c r="F16" s="44" t="s">
        <v>20</v>
      </c>
      <c r="G16" s="28" t="s">
        <v>30</v>
      </c>
      <c r="H16" s="44" t="s">
        <v>20</v>
      </c>
      <c r="I16" s="28" t="s">
        <v>30</v>
      </c>
      <c r="J16" s="44" t="s">
        <v>20</v>
      </c>
      <c r="K16" s="28" t="s">
        <v>30</v>
      </c>
      <c r="L16" s="44" t="s">
        <v>20</v>
      </c>
      <c r="M16" s="28" t="s">
        <v>30</v>
      </c>
      <c r="N16" s="44" t="s">
        <v>20</v>
      </c>
      <c r="O16" s="28" t="s">
        <v>30</v>
      </c>
      <c r="P16" s="44" t="s">
        <v>20</v>
      </c>
      <c r="Q16" s="28" t="s">
        <v>30</v>
      </c>
      <c r="R16" s="44" t="s">
        <v>20</v>
      </c>
      <c r="S16" s="28" t="s">
        <v>30</v>
      </c>
      <c r="T16" s="44" t="s">
        <v>20</v>
      </c>
      <c r="U16" s="28" t="s">
        <v>30</v>
      </c>
      <c r="V16" s="44" t="s">
        <v>20</v>
      </c>
      <c r="W16" s="282"/>
      <c r="X16" s="282"/>
      <c r="Y16" s="23" t="s">
        <v>30</v>
      </c>
      <c r="Z16" s="23" t="s">
        <v>20</v>
      </c>
    </row>
    <row r="17" spans="2:32" x14ac:dyDescent="0.25">
      <c r="B17" s="30">
        <v>1</v>
      </c>
      <c r="C17" s="309"/>
      <c r="D17" s="24"/>
      <c r="E17" s="309"/>
      <c r="F17" s="24"/>
      <c r="G17" s="309"/>
      <c r="H17" s="24"/>
      <c r="I17" s="309"/>
      <c r="J17" s="24"/>
      <c r="K17" s="309"/>
      <c r="L17" s="24"/>
      <c r="M17" s="309"/>
      <c r="N17" s="24"/>
      <c r="O17" s="309"/>
      <c r="P17" s="24"/>
      <c r="Q17" s="309"/>
      <c r="R17" s="24"/>
      <c r="S17" s="309"/>
      <c r="T17" s="24"/>
      <c r="U17" s="309"/>
      <c r="V17" s="24"/>
      <c r="W17" s="31">
        <f>SUM(C17,E17,G17,I17,K17,M17,O17,Q17,S17,U17)</f>
        <v>0</v>
      </c>
      <c r="X17" s="41">
        <f>SUM(D17,F17,H17,J17,L17,N17,P17,R17,T17,V17)</f>
        <v>0</v>
      </c>
      <c r="Y17" s="38">
        <f>COUNT(C17,E17,G17,I17,K17,M17,O17,Q17,S17,U17)</f>
        <v>0</v>
      </c>
      <c r="Z17" s="38">
        <f>COUNT(D17,F17,H17,J17,L17,N17,P17,R17,T17,V17)</f>
        <v>0</v>
      </c>
      <c r="AF17" t="s">
        <v>1</v>
      </c>
    </row>
    <row r="18" spans="2:32" x14ac:dyDescent="0.25">
      <c r="B18" s="30">
        <v>2</v>
      </c>
      <c r="C18" s="309"/>
      <c r="D18" s="24"/>
      <c r="E18" s="309"/>
      <c r="F18" s="24"/>
      <c r="G18" s="309"/>
      <c r="H18" s="24"/>
      <c r="I18" s="309"/>
      <c r="J18" s="24"/>
      <c r="K18" s="309"/>
      <c r="L18" s="24"/>
      <c r="M18" s="309"/>
      <c r="N18" s="24"/>
      <c r="O18" s="309"/>
      <c r="P18" s="24"/>
      <c r="Q18" s="309"/>
      <c r="R18" s="24"/>
      <c r="S18" s="309"/>
      <c r="T18" s="24"/>
      <c r="U18" s="309"/>
      <c r="V18" s="24"/>
      <c r="W18" s="31">
        <f t="shared" ref="W18:W23" si="30">SUM(C18,E18,G18,I18,K18,M18,O18,Q18,S18,U18)</f>
        <v>0</v>
      </c>
      <c r="X18" s="41"/>
      <c r="Y18" s="38">
        <f t="shared" ref="Y18:Y23" si="31">SUM(E18,G18,I18,K18,M18,O18,Q18,S18,U18,W18)</f>
        <v>0</v>
      </c>
      <c r="Z18" s="38"/>
    </row>
    <row r="19" spans="2:32" x14ac:dyDescent="0.25">
      <c r="B19" s="30">
        <v>3</v>
      </c>
      <c r="C19" s="309"/>
      <c r="D19" s="24"/>
      <c r="E19" s="309"/>
      <c r="F19" s="24"/>
      <c r="G19" s="309"/>
      <c r="H19" s="24"/>
      <c r="I19" s="309"/>
      <c r="J19" s="24"/>
      <c r="K19" s="309"/>
      <c r="L19" s="24"/>
      <c r="M19" s="309"/>
      <c r="N19" s="24"/>
      <c r="O19" s="309"/>
      <c r="P19" s="24"/>
      <c r="Q19" s="309"/>
      <c r="R19" s="24"/>
      <c r="S19" s="309"/>
      <c r="T19" s="24"/>
      <c r="U19" s="309"/>
      <c r="V19" s="24"/>
      <c r="W19" s="31">
        <f t="shared" si="30"/>
        <v>0</v>
      </c>
      <c r="X19" s="41"/>
      <c r="Y19" s="38">
        <f t="shared" si="31"/>
        <v>0</v>
      </c>
      <c r="Z19" s="38"/>
    </row>
    <row r="20" spans="2:32" x14ac:dyDescent="0.25">
      <c r="B20" s="30">
        <v>4</v>
      </c>
      <c r="C20" s="309"/>
      <c r="D20" s="24"/>
      <c r="E20" s="309"/>
      <c r="F20" s="24"/>
      <c r="G20" s="309"/>
      <c r="H20" s="24"/>
      <c r="I20" s="309"/>
      <c r="J20" s="24"/>
      <c r="K20" s="309"/>
      <c r="L20" s="24"/>
      <c r="M20" s="309"/>
      <c r="N20" s="24"/>
      <c r="O20" s="309"/>
      <c r="P20" s="24"/>
      <c r="Q20" s="309"/>
      <c r="R20" s="24"/>
      <c r="S20" s="309"/>
      <c r="T20" s="24"/>
      <c r="U20" s="309"/>
      <c r="V20" s="24"/>
      <c r="W20" s="31">
        <f t="shared" si="30"/>
        <v>0</v>
      </c>
      <c r="X20" s="41"/>
      <c r="Y20" s="38">
        <f t="shared" si="31"/>
        <v>0</v>
      </c>
      <c r="Z20" s="38"/>
    </row>
    <row r="21" spans="2:32" ht="15.75" thickBot="1" x14ac:dyDescent="0.3">
      <c r="B21" s="30">
        <v>5</v>
      </c>
      <c r="C21" s="310"/>
      <c r="D21" s="25"/>
      <c r="E21" s="310"/>
      <c r="F21" s="25"/>
      <c r="G21" s="310"/>
      <c r="H21" s="25"/>
      <c r="I21" s="310"/>
      <c r="J21" s="25"/>
      <c r="K21" s="310"/>
      <c r="L21" s="25"/>
      <c r="M21" s="310"/>
      <c r="N21" s="25"/>
      <c r="O21" s="310"/>
      <c r="P21" s="25"/>
      <c r="Q21" s="310"/>
      <c r="R21" s="25"/>
      <c r="S21" s="310"/>
      <c r="T21" s="25"/>
      <c r="U21" s="310"/>
      <c r="V21" s="25"/>
      <c r="W21" s="32">
        <f t="shared" si="30"/>
        <v>0</v>
      </c>
      <c r="X21" s="42"/>
      <c r="Y21" s="39">
        <f t="shared" si="31"/>
        <v>0</v>
      </c>
      <c r="Z21" s="39"/>
    </row>
    <row r="22" spans="2:32" x14ac:dyDescent="0.25">
      <c r="B22" s="30">
        <v>6</v>
      </c>
      <c r="C22" s="311"/>
      <c r="D22" s="26"/>
      <c r="E22" s="311"/>
      <c r="F22" s="26"/>
      <c r="G22" s="311"/>
      <c r="H22" s="26"/>
      <c r="I22" s="311"/>
      <c r="J22" s="26"/>
      <c r="K22" s="311"/>
      <c r="L22" s="26"/>
      <c r="M22" s="311"/>
      <c r="N22" s="26"/>
      <c r="O22" s="311"/>
      <c r="P22" s="26"/>
      <c r="Q22" s="311"/>
      <c r="R22" s="26"/>
      <c r="S22" s="311"/>
      <c r="T22" s="26"/>
      <c r="U22" s="311"/>
      <c r="V22" s="26"/>
      <c r="W22" s="33">
        <f t="shared" si="30"/>
        <v>0</v>
      </c>
      <c r="X22" s="43"/>
      <c r="Y22" s="40">
        <f t="shared" si="31"/>
        <v>0</v>
      </c>
      <c r="Z22" s="40"/>
    </row>
    <row r="23" spans="2:32" ht="15.75" thickBot="1" x14ac:dyDescent="0.3">
      <c r="B23" s="34">
        <v>7</v>
      </c>
      <c r="C23" s="312"/>
      <c r="D23" s="35"/>
      <c r="E23" s="312"/>
      <c r="F23" s="35"/>
      <c r="G23" s="312"/>
      <c r="H23" s="35"/>
      <c r="I23" s="312"/>
      <c r="J23" s="35"/>
      <c r="K23" s="312"/>
      <c r="L23" s="35"/>
      <c r="M23" s="312"/>
      <c r="N23" s="35"/>
      <c r="O23" s="312"/>
      <c r="P23" s="35"/>
      <c r="Q23" s="312"/>
      <c r="R23" s="35"/>
      <c r="S23" s="312"/>
      <c r="T23" s="35"/>
      <c r="U23" s="312"/>
      <c r="V23" s="35"/>
      <c r="W23" s="32">
        <f t="shared" si="30"/>
        <v>0</v>
      </c>
      <c r="X23" s="42"/>
      <c r="Y23" s="39">
        <f t="shared" si="31"/>
        <v>0</v>
      </c>
      <c r="Z23" s="39"/>
    </row>
    <row r="24" spans="2:32" x14ac:dyDescent="0.25">
      <c r="B24" s="272"/>
      <c r="C24" s="36">
        <f t="shared" ref="C24:V24" si="32">SUM(C17:C23)</f>
        <v>0</v>
      </c>
      <c r="D24" s="37">
        <f t="shared" si="32"/>
        <v>0</v>
      </c>
      <c r="E24" s="36">
        <f t="shared" si="32"/>
        <v>0</v>
      </c>
      <c r="F24" s="37">
        <f t="shared" si="32"/>
        <v>0</v>
      </c>
      <c r="G24" s="36">
        <f t="shared" si="32"/>
        <v>0</v>
      </c>
      <c r="H24" s="37">
        <f t="shared" si="32"/>
        <v>0</v>
      </c>
      <c r="I24" s="36">
        <f t="shared" si="32"/>
        <v>0</v>
      </c>
      <c r="J24" s="37">
        <f t="shared" si="32"/>
        <v>0</v>
      </c>
      <c r="K24" s="36">
        <f t="shared" si="32"/>
        <v>0</v>
      </c>
      <c r="L24" s="37">
        <f t="shared" si="32"/>
        <v>0</v>
      </c>
      <c r="M24" s="36">
        <f t="shared" si="32"/>
        <v>0</v>
      </c>
      <c r="N24" s="37">
        <f t="shared" si="32"/>
        <v>0</v>
      </c>
      <c r="O24" s="36">
        <f t="shared" si="32"/>
        <v>0</v>
      </c>
      <c r="P24" s="37">
        <f t="shared" si="32"/>
        <v>0</v>
      </c>
      <c r="Q24" s="36">
        <f t="shared" si="32"/>
        <v>0</v>
      </c>
      <c r="R24" s="37">
        <f t="shared" si="32"/>
        <v>0</v>
      </c>
      <c r="S24" s="36">
        <f t="shared" si="32"/>
        <v>0</v>
      </c>
      <c r="T24" s="37">
        <f t="shared" si="32"/>
        <v>0</v>
      </c>
      <c r="U24" s="37">
        <f t="shared" si="32"/>
        <v>0</v>
      </c>
      <c r="V24" s="37">
        <f t="shared" si="32"/>
        <v>0</v>
      </c>
      <c r="W24" s="273">
        <f t="shared" ref="W24" si="33">SUM(W17:W23)</f>
        <v>0</v>
      </c>
      <c r="X24" s="275">
        <f>SUM(X17:X23)</f>
        <v>0</v>
      </c>
      <c r="Y24" s="270">
        <f>SUM(Y17:Y23)</f>
        <v>0</v>
      </c>
      <c r="Z24" s="270">
        <f>SUM(Z17:Z23)</f>
        <v>0</v>
      </c>
    </row>
    <row r="25" spans="2:32" x14ac:dyDescent="0.25">
      <c r="B25" s="221"/>
      <c r="C25" s="29">
        <f>COUNTA(C17:C23)</f>
        <v>0</v>
      </c>
      <c r="D25" s="27"/>
      <c r="E25" s="29">
        <f>COUNTA(E17:E23)</f>
        <v>0</v>
      </c>
      <c r="F25" s="27"/>
      <c r="G25" s="29">
        <f>COUNTA(G17:G23)</f>
        <v>0</v>
      </c>
      <c r="H25" s="27"/>
      <c r="I25" s="29">
        <f>COUNTA(I17:I23)</f>
        <v>0</v>
      </c>
      <c r="J25" s="27"/>
      <c r="K25" s="29">
        <f>COUNTA(K17:K23)</f>
        <v>0</v>
      </c>
      <c r="L25" s="27"/>
      <c r="M25" s="29">
        <f>COUNTA(M17:M23)</f>
        <v>0</v>
      </c>
      <c r="N25" s="27"/>
      <c r="O25" s="29">
        <f>COUNTA(O17:O23)</f>
        <v>0</v>
      </c>
      <c r="P25" s="27"/>
      <c r="Q25" s="29">
        <f>COUNTA(Q17:Q23)</f>
        <v>0</v>
      </c>
      <c r="R25" s="27"/>
      <c r="S25" s="29">
        <f>COUNTA(S17:S23)</f>
        <v>0</v>
      </c>
      <c r="T25" s="27"/>
      <c r="U25" s="29"/>
      <c r="V25" s="27"/>
      <c r="W25" s="274"/>
      <c r="X25" s="276"/>
      <c r="Y25" s="271"/>
      <c r="Z25" s="271"/>
    </row>
  </sheetData>
  <mergeCells count="60">
    <mergeCell ref="AB11:AB12"/>
    <mergeCell ref="AW11:AW12"/>
    <mergeCell ref="AX11:AX12"/>
    <mergeCell ref="AY11:AY12"/>
    <mergeCell ref="AZ11:AZ12"/>
    <mergeCell ref="AC1:AV1"/>
    <mergeCell ref="AW1:AZ1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W3"/>
    <mergeCell ref="AX2:AX3"/>
    <mergeCell ref="G2:H2"/>
    <mergeCell ref="K2:L2"/>
    <mergeCell ref="I2:J2"/>
    <mergeCell ref="B1:B3"/>
    <mergeCell ref="AB1:AB3"/>
    <mergeCell ref="W1:Z1"/>
    <mergeCell ref="U2:V2"/>
    <mergeCell ref="S2:T2"/>
    <mergeCell ref="Q2:R2"/>
    <mergeCell ref="O2:P2"/>
    <mergeCell ref="M2:N2"/>
    <mergeCell ref="W2:W3"/>
    <mergeCell ref="X2:X3"/>
    <mergeCell ref="C1:V1"/>
    <mergeCell ref="C2:D2"/>
    <mergeCell ref="E2:F2"/>
    <mergeCell ref="B11:B12"/>
    <mergeCell ref="Z11:Z12"/>
    <mergeCell ref="Y11:Y12"/>
    <mergeCell ref="X11:X12"/>
    <mergeCell ref="W11:W12"/>
    <mergeCell ref="B14:B16"/>
    <mergeCell ref="C14:V14"/>
    <mergeCell ref="W14:Z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W16"/>
    <mergeCell ref="X15:X16"/>
    <mergeCell ref="Y24:Y25"/>
    <mergeCell ref="Z24:Z25"/>
    <mergeCell ref="B24:B25"/>
    <mergeCell ref="W24:W25"/>
    <mergeCell ref="X24:X25"/>
  </mergeCells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B1ED-19C9-49DB-9FF0-03C23B9846A4}">
  <dimension ref="B1:M11"/>
  <sheetViews>
    <sheetView tabSelected="1" zoomScale="80" zoomScaleNormal="80" workbookViewId="0">
      <selection activeCell="D7" sqref="D7"/>
    </sheetView>
  </sheetViews>
  <sheetFormatPr defaultRowHeight="15" x14ac:dyDescent="0.25"/>
  <cols>
    <col min="2" max="2" width="6.5703125" customWidth="1"/>
    <col min="3" max="3" width="2.28515625" bestFit="1" customWidth="1"/>
    <col min="4" max="4" width="12.7109375" bestFit="1" customWidth="1"/>
    <col min="5" max="5" width="11.28515625" customWidth="1"/>
    <col min="6" max="6" width="7.5703125" customWidth="1"/>
    <col min="7" max="7" width="12.140625" customWidth="1"/>
    <col min="8" max="8" width="10.7109375" bestFit="1" customWidth="1"/>
    <col min="9" max="9" width="11.42578125" bestFit="1" customWidth="1"/>
    <col min="10" max="10" width="8.140625" bestFit="1" customWidth="1"/>
    <col min="11" max="11" width="10.5703125" bestFit="1" customWidth="1"/>
    <col min="13" max="13" width="10.5703125" bestFit="1" customWidth="1"/>
  </cols>
  <sheetData>
    <row r="1" spans="2:13" x14ac:dyDescent="0.25">
      <c r="B1" s="292" t="s">
        <v>14</v>
      </c>
      <c r="C1" s="292"/>
      <c r="D1" s="292"/>
      <c r="E1" s="292"/>
      <c r="F1" s="82"/>
      <c r="G1" s="291" t="s">
        <v>59</v>
      </c>
      <c r="H1" s="292"/>
      <c r="I1" s="291" t="s">
        <v>36</v>
      </c>
      <c r="J1" s="292"/>
      <c r="K1" s="292"/>
      <c r="L1" s="292"/>
      <c r="M1" s="292"/>
    </row>
    <row r="2" spans="2:13" ht="20.100000000000001" customHeight="1" x14ac:dyDescent="0.25">
      <c r="B2" s="296" t="s">
        <v>58</v>
      </c>
      <c r="C2" s="296"/>
      <c r="D2" s="293" t="s">
        <v>57</v>
      </c>
      <c r="E2" s="295"/>
      <c r="F2" s="298"/>
      <c r="G2" s="293" t="s">
        <v>40</v>
      </c>
      <c r="H2" s="295"/>
      <c r="I2" s="294" t="s">
        <v>40</v>
      </c>
      <c r="J2" s="293"/>
      <c r="K2" s="293"/>
      <c r="L2" s="293"/>
      <c r="M2" s="293"/>
    </row>
    <row r="3" spans="2:13" ht="20.100000000000001" customHeight="1" x14ac:dyDescent="0.25">
      <c r="B3" s="296"/>
      <c r="C3" s="296"/>
      <c r="D3" s="83" t="s">
        <v>10</v>
      </c>
      <c r="E3" s="84" t="s">
        <v>41</v>
      </c>
      <c r="F3" s="298"/>
      <c r="G3" s="86" t="s">
        <v>10</v>
      </c>
      <c r="H3" s="84" t="s">
        <v>41</v>
      </c>
      <c r="I3" s="287" t="s">
        <v>10</v>
      </c>
      <c r="J3" s="289" t="s">
        <v>41</v>
      </c>
      <c r="K3" s="91" t="s">
        <v>10</v>
      </c>
      <c r="L3" s="90" t="s">
        <v>41</v>
      </c>
      <c r="M3" s="90" t="s">
        <v>31</v>
      </c>
    </row>
    <row r="4" spans="2:13" ht="20.100000000000001" customHeight="1" thickBot="1" x14ac:dyDescent="0.3">
      <c r="B4" s="297"/>
      <c r="C4" s="297"/>
      <c r="D4" s="300">
        <v>1000</v>
      </c>
      <c r="E4" s="301">
        <v>1000</v>
      </c>
      <c r="F4" s="299"/>
      <c r="G4" s="87">
        <f>D4</f>
        <v>1000</v>
      </c>
      <c r="H4" s="85">
        <f>E4</f>
        <v>1000</v>
      </c>
      <c r="I4" s="288"/>
      <c r="J4" s="290"/>
      <c r="K4" s="100" t="s">
        <v>49</v>
      </c>
      <c r="L4" s="101" t="s">
        <v>49</v>
      </c>
      <c r="M4" s="101" t="s">
        <v>49</v>
      </c>
    </row>
    <row r="5" spans="2:13" s="10" customFormat="1" ht="20.100000000000001" customHeight="1" x14ac:dyDescent="0.25">
      <c r="C5" s="104">
        <v>1</v>
      </c>
      <c r="D5" s="105">
        <f>IF(D4="",D4,(D4+'PROSES MASAKAN'!M5)-PENJUALAN!AW4)</f>
        <v>1000</v>
      </c>
      <c r="E5" s="106">
        <f>IF(E4="",E4,(E4+'PROSES MASAKAN'!N5)-PENJUALAN!AX4)</f>
        <v>1000</v>
      </c>
      <c r="G5" s="105">
        <f>IF(G4="",G4,PENJUALAN!W4+'PROSES MASAKAN'!T5)</f>
        <v>1100</v>
      </c>
      <c r="H5" s="105">
        <f>IF(H4="",H4,PENJUALAN!X4+'PROSES MASAKAN'!U5)</f>
        <v>1100</v>
      </c>
      <c r="I5" s="108">
        <f>$G5-$D5</f>
        <v>100</v>
      </c>
      <c r="J5" s="109">
        <f>$H5-$E5</f>
        <v>100</v>
      </c>
      <c r="K5" s="110">
        <f>I5*9.5</f>
        <v>950</v>
      </c>
      <c r="L5" s="111">
        <f>J5*5</f>
        <v>500</v>
      </c>
      <c r="M5" s="112">
        <f>SUM(K5:L5)</f>
        <v>1450</v>
      </c>
    </row>
    <row r="6" spans="2:13" s="10" customFormat="1" ht="20.100000000000001" customHeight="1" x14ac:dyDescent="0.25">
      <c r="C6" s="81">
        <v>2</v>
      </c>
      <c r="D6" s="113">
        <f>(D5+'PROSES MASAKAN'!M6)-PENJUALAN!AW5</f>
        <v>1000</v>
      </c>
      <c r="E6" s="114">
        <f>(E5+'PROSES MASAKAN'!N6)-PENJUALAN!AX5</f>
        <v>1000</v>
      </c>
      <c r="G6" s="115">
        <f>'PROSES MASAKAN'!T6+PENJUALAN!W5</f>
        <v>0</v>
      </c>
      <c r="H6" s="114">
        <f>'PROSES MASAKAN'!U6+PENJUALAN!X5</f>
        <v>0</v>
      </c>
      <c r="I6" s="116">
        <f t="shared" ref="I6:I11" si="0">$G6-$D6</f>
        <v>-1000</v>
      </c>
      <c r="J6" s="117">
        <f t="shared" ref="J6:J11" si="1">$H6-$E6</f>
        <v>-1000</v>
      </c>
      <c r="K6" s="118">
        <f t="shared" ref="K6:K11" si="2">I6*9.5</f>
        <v>-9500</v>
      </c>
      <c r="L6" s="119">
        <f t="shared" ref="L6:L11" si="3">J6*5</f>
        <v>-5000</v>
      </c>
      <c r="M6" s="120">
        <f t="shared" ref="M6:M11" si="4">SUM(K6:L6)</f>
        <v>-14500</v>
      </c>
    </row>
    <row r="7" spans="2:13" s="10" customFormat="1" ht="20.100000000000001" customHeight="1" x14ac:dyDescent="0.25">
      <c r="C7" s="81">
        <v>3</v>
      </c>
      <c r="D7" s="113">
        <f>(D6+'PROSES MASAKAN'!M7)-PENJUALAN!AW6</f>
        <v>1000</v>
      </c>
      <c r="E7" s="114">
        <f>(E6+'PROSES MASAKAN'!N7)-PENJUALAN!AX6</f>
        <v>1000</v>
      </c>
      <c r="G7" s="115">
        <f>'PROSES MASAKAN'!T7+PENJUALAN!W6</f>
        <v>0</v>
      </c>
      <c r="H7" s="114">
        <f>'PROSES MASAKAN'!U7+PENJUALAN!X6</f>
        <v>0</v>
      </c>
      <c r="I7" s="116">
        <f t="shared" si="0"/>
        <v>-1000</v>
      </c>
      <c r="J7" s="117">
        <f t="shared" si="1"/>
        <v>-1000</v>
      </c>
      <c r="K7" s="118">
        <f t="shared" si="2"/>
        <v>-9500</v>
      </c>
      <c r="L7" s="119">
        <f t="shared" si="3"/>
        <v>-5000</v>
      </c>
      <c r="M7" s="120">
        <f t="shared" si="4"/>
        <v>-14500</v>
      </c>
    </row>
    <row r="8" spans="2:13" s="10" customFormat="1" ht="20.100000000000001" customHeight="1" x14ac:dyDescent="0.25">
      <c r="C8" s="81">
        <v>4</v>
      </c>
      <c r="D8" s="113">
        <f>(D7+'PROSES MASAKAN'!M8)-PENJUALAN!AW7</f>
        <v>1000</v>
      </c>
      <c r="E8" s="114">
        <f>(E7+'PROSES MASAKAN'!N8)-PENJUALAN!AX7</f>
        <v>1000</v>
      </c>
      <c r="G8" s="115">
        <f>'PROSES MASAKAN'!T8+PENJUALAN!W7</f>
        <v>0</v>
      </c>
      <c r="H8" s="114">
        <f>'PROSES MASAKAN'!U8+PENJUALAN!X7</f>
        <v>0</v>
      </c>
      <c r="I8" s="116">
        <f t="shared" si="0"/>
        <v>-1000</v>
      </c>
      <c r="J8" s="117">
        <f t="shared" si="1"/>
        <v>-1000</v>
      </c>
      <c r="K8" s="118">
        <f t="shared" si="2"/>
        <v>-9500</v>
      </c>
      <c r="L8" s="119">
        <f t="shared" si="3"/>
        <v>-5000</v>
      </c>
      <c r="M8" s="120">
        <f t="shared" si="4"/>
        <v>-14500</v>
      </c>
    </row>
    <row r="9" spans="2:13" s="10" customFormat="1" ht="20.100000000000001" customHeight="1" thickBot="1" x14ac:dyDescent="0.3">
      <c r="C9" s="121">
        <v>5</v>
      </c>
      <c r="D9" s="122">
        <f>(D8+'PROSES MASAKAN'!M9)-PENJUALAN!AW8</f>
        <v>1000</v>
      </c>
      <c r="E9" s="123">
        <f>(E8+'PROSES MASAKAN'!N9)-PENJUALAN!AX8</f>
        <v>1000</v>
      </c>
      <c r="G9" s="124">
        <f>'PROSES MASAKAN'!T9+PENJUALAN!W8</f>
        <v>0</v>
      </c>
      <c r="H9" s="123">
        <f>'PROSES MASAKAN'!U9+PENJUALAN!X8</f>
        <v>0</v>
      </c>
      <c r="I9" s="125">
        <f t="shared" si="0"/>
        <v>-1000</v>
      </c>
      <c r="J9" s="126">
        <f t="shared" si="1"/>
        <v>-1000</v>
      </c>
      <c r="K9" s="127">
        <f t="shared" si="2"/>
        <v>-9500</v>
      </c>
      <c r="L9" s="128">
        <f t="shared" si="3"/>
        <v>-5000</v>
      </c>
      <c r="M9" s="120">
        <f t="shared" si="4"/>
        <v>-14500</v>
      </c>
    </row>
    <row r="10" spans="2:13" s="10" customFormat="1" ht="20.100000000000001" customHeight="1" x14ac:dyDescent="0.25">
      <c r="C10" s="104">
        <v>6</v>
      </c>
      <c r="D10" s="129">
        <f>(D9+'PROSES MASAKAN'!M10)-PENJUALAN!AW9</f>
        <v>1000</v>
      </c>
      <c r="E10" s="106">
        <f>(E9+'PROSES MASAKAN'!N10)-PENJUALAN!AX9</f>
        <v>1000</v>
      </c>
      <c r="G10" s="107">
        <f>'PROSES MASAKAN'!T10+PENJUALAN!W9</f>
        <v>0</v>
      </c>
      <c r="H10" s="109">
        <f>'PROSES MASAKAN'!U10+PENJUALAN!X9</f>
        <v>0</v>
      </c>
      <c r="I10" s="108">
        <f t="shared" si="0"/>
        <v>-1000</v>
      </c>
      <c r="J10" s="130">
        <f t="shared" si="1"/>
        <v>-1000</v>
      </c>
      <c r="K10" s="110">
        <f t="shared" si="2"/>
        <v>-9500</v>
      </c>
      <c r="L10" s="111">
        <f t="shared" si="3"/>
        <v>-5000</v>
      </c>
      <c r="M10" s="120">
        <f t="shared" si="4"/>
        <v>-14500</v>
      </c>
    </row>
    <row r="11" spans="2:13" s="10" customFormat="1" ht="20.100000000000001" customHeight="1" x14ac:dyDescent="0.25">
      <c r="C11" s="81">
        <v>7</v>
      </c>
      <c r="D11" s="113">
        <f>(D10+'PROSES MASAKAN'!M11)-PENJUALAN!AW10</f>
        <v>1000</v>
      </c>
      <c r="E11" s="114">
        <f>(E10+'PROSES MASAKAN'!N11)-PENJUALAN!AX10</f>
        <v>1000</v>
      </c>
      <c r="G11" s="115">
        <f>'PROSES MASAKAN'!T11+PENJUALAN!W10</f>
        <v>0</v>
      </c>
      <c r="H11" s="114">
        <f>'PROSES MASAKAN'!U11+PENJUALAN!X10</f>
        <v>0</v>
      </c>
      <c r="I11" s="125">
        <f t="shared" si="0"/>
        <v>-1000</v>
      </c>
      <c r="J11" s="126">
        <f t="shared" si="1"/>
        <v>-1000</v>
      </c>
      <c r="K11" s="127">
        <f t="shared" si="2"/>
        <v>-9500</v>
      </c>
      <c r="L11" s="128">
        <f t="shared" si="3"/>
        <v>-5000</v>
      </c>
      <c r="M11" s="131">
        <f t="shared" si="4"/>
        <v>-14500</v>
      </c>
    </row>
  </sheetData>
  <mergeCells count="10">
    <mergeCell ref="I3:I4"/>
    <mergeCell ref="J3:J4"/>
    <mergeCell ref="G1:H1"/>
    <mergeCell ref="B1:E1"/>
    <mergeCell ref="I1:M1"/>
    <mergeCell ref="I2:M2"/>
    <mergeCell ref="D2:E2"/>
    <mergeCell ref="B2:C4"/>
    <mergeCell ref="G2:H2"/>
    <mergeCell ref="F2:F4"/>
  </mergeCells>
  <pageMargins left="0.70866141732283472" right="0.70866141732283472" top="0.74803149606299213" bottom="0.74803149606299213" header="0.31496062992125984" footer="0.31496062992125984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BAHAN BAKU</vt:lpstr>
      <vt:lpstr>PROSES MASAKAN</vt:lpstr>
      <vt:lpstr>PENJUALAN</vt:lpstr>
      <vt:lpstr>REKAP N S AWAL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ZAINURI</dc:creator>
  <cp:lastModifiedBy>MALIK ZAINURI</cp:lastModifiedBy>
  <cp:lastPrinted>2026-09-29T00:16:23Z</cp:lastPrinted>
  <dcterms:created xsi:type="dcterms:W3CDTF">2026-09-28T11:54:01Z</dcterms:created>
  <dcterms:modified xsi:type="dcterms:W3CDTF">2026-10-10T04:17:17Z</dcterms:modified>
</cp:coreProperties>
</file>